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0"/>
  <workbookPr autoCompressPictures="0"/>
  <mc:AlternateContent xmlns:mc="http://schemas.openxmlformats.org/markup-compatibility/2006">
    <mc:Choice Requires="x15">
      <x15ac:absPath xmlns:x15ac="http://schemas.microsoft.com/office/spreadsheetml/2010/11/ac" url="https://www.dropbox.com/213861507/MitC/Rule books/"/>
    </mc:Choice>
  </mc:AlternateContent>
  <xr:revisionPtr revIDLastSave="307" documentId="B27B60ABCFAFBAF9BF82C2080D915FC7191C8E28" xr6:coauthVersionLast="45" xr6:coauthVersionMax="45" xr10:uidLastSave="{3C14AAFA-FCEA-3641-A7C8-A81FD4E9DD82}"/>
  <bookViews>
    <workbookView xWindow="0" yWindow="0" windowWidth="6400" windowHeight="20480" firstSheet="3" xr2:uid="{00000000-000D-0000-FFFF-FFFF00000000}"/>
  </bookViews>
  <sheets>
    <sheet name="START" sheetId="3" r:id="rId1"/>
    <sheet name="Print" sheetId="6" r:id="rId2"/>
    <sheet name="Math" sheetId="1" r:id="rId3"/>
    <sheet name="STUFF" sheetId="4" r:id="rId4"/>
    <sheet name="FEATS" sheetId="5" r:id="rId5"/>
  </sheets>
  <definedNames>
    <definedName name="ChooseA">FEATS!$3:$3</definedName>
    <definedName name="CHOOSEANY">Math!$A$31:$M$31</definedName>
    <definedName name="CHOOSEONE">Math!$A$28:$D$28</definedName>
    <definedName name="DEF">Math!#REF!</definedName>
    <definedName name="Defence">Math!$FF$3:$FF$4</definedName>
    <definedName name="DefenceAC">STUFF!$A$1:$CU$2</definedName>
    <definedName name="DefenceFORT">STUFF!$A$3:$CU$4</definedName>
    <definedName name="DefenceREF">STUFF!#REF!</definedName>
    <definedName name="DefenceWILL">STUFF!$A$5:$CU$6</definedName>
    <definedName name="HP">Math!$FG$4:$FG$1175</definedName>
    <definedName name="LVL">Math!$FH$5:$FH$33</definedName>
    <definedName name="MonsterNames">#REF!</definedName>
    <definedName name="POWERS">STUFF!$A$7:$CU$38</definedName>
    <definedName name="_xlnm.Print_Area" localSheetId="1">Print!$A$1:$AN$53</definedName>
    <definedName name="_xlnm.Print_Area" localSheetId="0">START!$A$1:$AP$33</definedName>
  </definedNames>
  <calcPr calcId="191028" calcCompleted="0" concurrentCalc="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2" i="4" l="1"/>
  <c r="B5" i="3"/>
  <c r="O33" i="3"/>
  <c r="AI44" i="6"/>
  <c r="E33" i="3"/>
  <c r="AB44" i="6"/>
  <c r="O23" i="3"/>
  <c r="U44" i="6"/>
  <c r="E23" i="3"/>
  <c r="M44" i="6"/>
  <c r="O13" i="3"/>
  <c r="AI30" i="6"/>
  <c r="E13" i="3"/>
  <c r="AB30" i="6"/>
  <c r="O3" i="3"/>
  <c r="U30" i="6"/>
  <c r="E3" i="3"/>
  <c r="M30" i="6"/>
  <c r="C16" i="5"/>
  <c r="A1" i="3"/>
  <c r="B6" i="3"/>
  <c r="C5" i="3"/>
  <c r="B1" i="3"/>
  <c r="C6" i="3"/>
  <c r="D6" i="3"/>
  <c r="C5" i="6"/>
  <c r="D2" i="3"/>
  <c r="AG5" i="6"/>
  <c r="F30" i="6"/>
  <c r="A30" i="6"/>
  <c r="C6" i="4"/>
  <c r="K6" i="4"/>
  <c r="B6" i="4"/>
  <c r="M6" i="4"/>
  <c r="BZ6" i="4"/>
  <c r="D6" i="4"/>
  <c r="AU6" i="4"/>
  <c r="AF6" i="4"/>
  <c r="AG6" i="4"/>
  <c r="AL6" i="4"/>
  <c r="AZ6" i="4"/>
  <c r="B9" i="3"/>
  <c r="C9" i="3"/>
  <c r="D9" i="3"/>
  <c r="C4" i="6"/>
  <c r="C4" i="4"/>
  <c r="K4" i="4"/>
  <c r="B4" i="4"/>
  <c r="M4" i="4"/>
  <c r="BZ4" i="4"/>
  <c r="D4" i="4"/>
  <c r="AU4" i="4"/>
  <c r="AF4" i="4"/>
  <c r="AG4" i="4"/>
  <c r="AL4" i="4"/>
  <c r="AZ4" i="4"/>
  <c r="B8" i="3"/>
  <c r="C8" i="3"/>
  <c r="D8" i="3"/>
  <c r="C3" i="6"/>
  <c r="C2" i="4"/>
  <c r="K2" i="4"/>
  <c r="M2" i="4"/>
  <c r="BZ2" i="4"/>
  <c r="D2" i="4"/>
  <c r="AU2" i="4"/>
  <c r="AF2" i="4"/>
  <c r="AG2" i="4"/>
  <c r="AL2" i="4"/>
  <c r="AZ2" i="4"/>
  <c r="B7" i="3"/>
  <c r="C7" i="3"/>
  <c r="D7" i="3"/>
  <c r="C2" i="6"/>
  <c r="D5" i="3"/>
  <c r="C1" i="6"/>
  <c r="F4" i="6"/>
  <c r="AI6" i="6"/>
  <c r="G6" i="6"/>
  <c r="F1" i="6"/>
  <c r="AB6" i="6"/>
  <c r="U6" i="6"/>
  <c r="N6" i="6"/>
  <c r="A6" i="6"/>
  <c r="CU6" i="4"/>
  <c r="CU4" i="4"/>
  <c r="E4" i="4"/>
  <c r="L4" i="4"/>
  <c r="N4" i="4"/>
  <c r="P4" i="4"/>
  <c r="Q4" i="4"/>
  <c r="R4" i="4"/>
  <c r="U4" i="4"/>
  <c r="W4" i="4"/>
  <c r="X4" i="4"/>
  <c r="AA4" i="4"/>
  <c r="Z4" i="4"/>
  <c r="AB4" i="4"/>
  <c r="AC4" i="4"/>
  <c r="AD4" i="4"/>
  <c r="AE4" i="4"/>
  <c r="AH4" i="4"/>
  <c r="AI4" i="4"/>
  <c r="AJ4" i="4"/>
  <c r="AK4" i="4"/>
  <c r="AS4" i="4"/>
  <c r="AW4" i="4"/>
  <c r="BA4" i="4"/>
  <c r="BN4" i="4"/>
  <c r="BO4" i="4"/>
  <c r="BP4" i="4"/>
  <c r="BQ4" i="4"/>
  <c r="BR4" i="4"/>
  <c r="BS4" i="4"/>
  <c r="BT4" i="4"/>
  <c r="BU4" i="4"/>
  <c r="BV4" i="4"/>
  <c r="BW4" i="4"/>
  <c r="BX4" i="4"/>
  <c r="CA4" i="4"/>
  <c r="CD4" i="4"/>
  <c r="CE4" i="4"/>
  <c r="CG4" i="4"/>
  <c r="CK4" i="4"/>
  <c r="CM4" i="4"/>
  <c r="CT4" i="4"/>
  <c r="CS4" i="4"/>
  <c r="CR4" i="4"/>
  <c r="CQ4" i="4"/>
  <c r="CP4" i="4"/>
  <c r="CO4" i="4"/>
  <c r="CN4" i="4"/>
  <c r="CL4" i="4"/>
  <c r="CJ4" i="4"/>
  <c r="CI4" i="4"/>
  <c r="CH4" i="4"/>
  <c r="CF4" i="4"/>
  <c r="CC4" i="4"/>
  <c r="CB4" i="4"/>
  <c r="BY4" i="4"/>
  <c r="BM4" i="4"/>
  <c r="BL4" i="4"/>
  <c r="BK4" i="4"/>
  <c r="BJ4" i="4"/>
  <c r="BI4" i="4"/>
  <c r="BH4" i="4"/>
  <c r="BG4" i="4"/>
  <c r="BF4" i="4"/>
  <c r="BE4" i="4"/>
  <c r="BD4" i="4"/>
  <c r="BC4" i="4"/>
  <c r="BB4" i="4"/>
  <c r="AY4" i="4"/>
  <c r="AX4" i="4"/>
  <c r="AV4" i="4"/>
  <c r="AT4" i="4"/>
  <c r="AR4" i="4"/>
  <c r="AQ4" i="4"/>
  <c r="AP4" i="4"/>
  <c r="AO4" i="4"/>
  <c r="AN4" i="4"/>
  <c r="AM4" i="4"/>
  <c r="Y4" i="4"/>
  <c r="V4" i="4"/>
  <c r="T4" i="4"/>
  <c r="S4" i="4"/>
  <c r="O4" i="4"/>
  <c r="J4" i="4"/>
  <c r="I4" i="4"/>
  <c r="H4" i="4"/>
  <c r="G4" i="4"/>
  <c r="F4" i="4"/>
  <c r="E6" i="4"/>
  <c r="L6" i="4"/>
  <c r="N6" i="4"/>
  <c r="S6" i="4"/>
  <c r="U6" i="4"/>
  <c r="W6" i="4"/>
  <c r="Y6" i="4"/>
  <c r="AB6" i="4"/>
  <c r="AC6" i="4"/>
  <c r="AD6" i="4"/>
  <c r="AE6" i="4"/>
  <c r="AH6" i="4"/>
  <c r="AI6" i="4"/>
  <c r="AJ6" i="4"/>
  <c r="AK6" i="4"/>
  <c r="AW6" i="4"/>
  <c r="AY6" i="4"/>
  <c r="BA6" i="4"/>
  <c r="BB6" i="4"/>
  <c r="BC6" i="4"/>
  <c r="BD6" i="4"/>
  <c r="BF6" i="4"/>
  <c r="BH6" i="4"/>
  <c r="BL6" i="4"/>
  <c r="BQ6" i="4"/>
  <c r="BR6" i="4"/>
  <c r="BU6" i="4"/>
  <c r="BV6" i="4"/>
  <c r="CA6" i="4"/>
  <c r="CF6" i="4"/>
  <c r="CG6" i="4"/>
  <c r="CH6" i="4"/>
  <c r="CK6" i="4"/>
  <c r="CT6" i="4"/>
  <c r="CS6" i="4"/>
  <c r="CR6" i="4"/>
  <c r="CQ6" i="4"/>
  <c r="CP6" i="4"/>
  <c r="CO6" i="4"/>
  <c r="CN6" i="4"/>
  <c r="CM6" i="4"/>
  <c r="CL6" i="4"/>
  <c r="CJ6" i="4"/>
  <c r="CI6" i="4"/>
  <c r="CD6" i="4"/>
  <c r="CC6" i="4"/>
  <c r="CB6" i="4"/>
  <c r="BY6" i="4"/>
  <c r="BX6" i="4"/>
  <c r="BW6" i="4"/>
  <c r="BT6" i="4"/>
  <c r="BS6" i="4"/>
  <c r="BP6" i="4"/>
  <c r="BO6" i="4"/>
  <c r="BN6" i="4"/>
  <c r="BM6" i="4"/>
  <c r="BK6" i="4"/>
  <c r="BJ6" i="4"/>
  <c r="BI6" i="4"/>
  <c r="BE6" i="4"/>
  <c r="AX6" i="4"/>
  <c r="AV6" i="4"/>
  <c r="AT6" i="4"/>
  <c r="AS6" i="4"/>
  <c r="AR6" i="4"/>
  <c r="AQ6" i="4"/>
  <c r="AP6" i="4"/>
  <c r="AN6" i="4"/>
  <c r="AM6" i="4"/>
  <c r="AA6" i="4"/>
  <c r="Z6" i="4"/>
  <c r="X6" i="4"/>
  <c r="V6" i="4"/>
  <c r="T6" i="4"/>
  <c r="R6" i="4"/>
  <c r="Q6" i="4"/>
  <c r="P6" i="4"/>
  <c r="O6" i="4"/>
  <c r="J6" i="4"/>
  <c r="I6" i="4"/>
  <c r="H6" i="4"/>
  <c r="G6" i="4"/>
  <c r="F6" i="4"/>
  <c r="CU2" i="4"/>
  <c r="CT2" i="4"/>
  <c r="CQ2" i="4"/>
  <c r="CP2" i="4"/>
  <c r="CO2" i="4"/>
  <c r="CN2" i="4"/>
  <c r="CM2" i="4"/>
  <c r="CL2" i="4"/>
  <c r="CK2" i="4"/>
  <c r="CJ2" i="4"/>
  <c r="CI2" i="4"/>
  <c r="CH2" i="4"/>
  <c r="CG2" i="4"/>
  <c r="CF2" i="4"/>
  <c r="CD2" i="4"/>
  <c r="CC2" i="4"/>
  <c r="CB2" i="4"/>
  <c r="CA2" i="4"/>
  <c r="BY2" i="4"/>
  <c r="BX2" i="4"/>
  <c r="BW2" i="4"/>
  <c r="BV2" i="4"/>
  <c r="BU2" i="4"/>
  <c r="BT2" i="4"/>
  <c r="BS2" i="4"/>
  <c r="BR2" i="4"/>
  <c r="BQ2" i="4"/>
  <c r="BP2" i="4"/>
  <c r="BO2" i="4"/>
  <c r="BN2" i="4"/>
  <c r="BM2" i="4"/>
  <c r="BL2" i="4"/>
  <c r="BK2" i="4"/>
  <c r="BJ2" i="4"/>
  <c r="BI2" i="4"/>
  <c r="BH2" i="4"/>
  <c r="BF2" i="4"/>
  <c r="BE2" i="4"/>
  <c r="BD2" i="4"/>
  <c r="BC2" i="4"/>
  <c r="BB2" i="4"/>
  <c r="BA2" i="4"/>
  <c r="AY2" i="4"/>
  <c r="AX2" i="4"/>
  <c r="AW2" i="4"/>
  <c r="AV2" i="4"/>
  <c r="AT2" i="4"/>
  <c r="AS2" i="4"/>
  <c r="AR2" i="4"/>
  <c r="AQ2" i="4"/>
  <c r="AP2" i="4"/>
  <c r="AO2" i="4"/>
  <c r="AN2" i="4"/>
  <c r="AM2" i="4"/>
  <c r="AK2" i="4"/>
  <c r="AJ2" i="4"/>
  <c r="AI2" i="4"/>
  <c r="AH2" i="4"/>
  <c r="AE2" i="4"/>
  <c r="AD2" i="4"/>
  <c r="AC2" i="4"/>
  <c r="AB2" i="4"/>
  <c r="AA2" i="4"/>
  <c r="Z2" i="4"/>
  <c r="Y2" i="4"/>
  <c r="X2" i="4"/>
  <c r="W2" i="4"/>
  <c r="V2" i="4"/>
  <c r="U2" i="4"/>
  <c r="T2" i="4"/>
  <c r="S2" i="4"/>
  <c r="R2" i="4"/>
  <c r="Q2" i="4"/>
  <c r="P2" i="4"/>
  <c r="O2" i="4"/>
  <c r="N2" i="4"/>
  <c r="L2" i="4"/>
  <c r="J2" i="4"/>
  <c r="I2" i="4"/>
  <c r="H2" i="4"/>
  <c r="G2" i="4"/>
  <c r="F2" i="4"/>
  <c r="E2" i="4"/>
  <c r="C22" i="5"/>
  <c r="C19" i="5"/>
  <c r="C20" i="5"/>
  <c r="C21" i="5"/>
  <c r="C7" i="5"/>
  <c r="C6" i="5"/>
  <c r="C8" i="5"/>
  <c r="C9" i="5"/>
  <c r="C10" i="5"/>
  <c r="C11" i="5"/>
  <c r="C12" i="5"/>
  <c r="C13" i="5"/>
  <c r="C14" i="5"/>
  <c r="D4" i="3"/>
  <c r="Q49" i="1"/>
  <c r="C23" i="5"/>
  <c r="C18" i="5"/>
  <c r="D38" i="1"/>
  <c r="C38" i="1"/>
  <c r="D33" i="1"/>
  <c r="B33" i="1"/>
  <c r="C33" i="1"/>
  <c r="C17" i="5"/>
  <c r="C24" i="5"/>
</calcChain>
</file>

<file path=xl/sharedStrings.xml><?xml version="1.0" encoding="utf-8"?>
<sst xmlns="http://schemas.openxmlformats.org/spreadsheetml/2006/main" count="1113" uniqueCount="614">
  <si>
    <t>Initiative</t>
  </si>
  <si>
    <t>You may choose any combo of the fallowing</t>
  </si>
  <si>
    <t>Name</t>
  </si>
  <si>
    <t>Bat</t>
  </si>
  <si>
    <t>Level</t>
  </si>
  <si>
    <t>EXP</t>
  </si>
  <si>
    <t>HP</t>
  </si>
  <si>
    <t>Weak</t>
  </si>
  <si>
    <t>AC</t>
  </si>
  <si>
    <t>Fort</t>
  </si>
  <si>
    <t>Will</t>
  </si>
  <si>
    <t>You may choose one of the fallowing</t>
  </si>
  <si>
    <t>Monster dice equal to half the monsters level to a minimum of 1.</t>
  </si>
  <si>
    <t>`</t>
  </si>
  <si>
    <t>Level 10 power</t>
  </si>
  <si>
    <t>weak</t>
  </si>
  <si>
    <t>Giant +100XP</t>
  </si>
  <si>
    <t>Huge +500XP</t>
  </si>
  <si>
    <t>Monstrous +1500xp</t>
  </si>
  <si>
    <t>None</t>
  </si>
  <si>
    <t xml:space="preserve">+1 dice satge. i.e. 1d4 becomes 1d6, or 2d8 becomes 2d10.                                                                                                                                                                                                                                                                                                                               HP + 10x LVL (already applied)                                                                                                                                                                                                                                                                                                                                                                                                                                              + 1 VS Saving rolls                                                                                                                                              + 1 Initiative                                                                                                                                                                                                                                                                                                          </t>
  </si>
  <si>
    <t>+2 dice satge. i.e. 1d4 becomes 1d8, or 2d8 becomes 2d12.                                                                                                                                                                                                                                                                                                                               + HP 20x LVL (already applied)                                                                                                                                                                                                                                                                                                                                                                                                                                              + 5 VS Saving rolls                                                                                                                                              + 3 Initiative                                                                                                                                                     + 1 base size                                                                                                                                                         + 1 Attack bonus X LVL</t>
  </si>
  <si>
    <t>+2 dice satge. i.e. 1d4 becomes 1d8, or 2d8 becomes 2d12.                                                                                                  .+ 1 extra Damage dice i.e. 1d4 becomes 2d4.                                                                                                                                                                                                                                                                                                                          + HP 30x LVL (already applied)                                                                                                                                                                                                                                                                                                                                                                                                                                               + 5 VS Saving rolls                                                                                                                                              + 5 Initiative                                                                                                                                                     + 2 base size                                                                                                                                                         + 1 Attack bonus X LVL</t>
  </si>
  <si>
    <t>Adult Dragon</t>
  </si>
  <si>
    <t>Ancient Dragon</t>
  </si>
  <si>
    <t>Bat Swarm</t>
  </si>
  <si>
    <t>Blue Jell-O</t>
  </si>
  <si>
    <t>Bulbarsuara</t>
  </si>
  <si>
    <t>Chain Dark Shadow</t>
  </si>
  <si>
    <t>Charizard</t>
  </si>
  <si>
    <t>Charmander</t>
  </si>
  <si>
    <t>Charmeleon</t>
  </si>
  <si>
    <t>Clown</t>
  </si>
  <si>
    <t>Clown Swarm</t>
  </si>
  <si>
    <t>Two headed clown</t>
  </si>
  <si>
    <t>Happy (lord of chaos)</t>
  </si>
  <si>
    <t>Sad clown (champion of chaos)</t>
  </si>
  <si>
    <t>Scary clown</t>
  </si>
  <si>
    <t>Creeps</t>
  </si>
  <si>
    <t>Dark Shadow</t>
  </si>
  <si>
    <t>Death Jump Spider</t>
  </si>
  <si>
    <t>Decrepit Skeleton</t>
  </si>
  <si>
    <t>Devourer</t>
  </si>
  <si>
    <t>Dier Rat</t>
  </si>
  <si>
    <t>Dier Wolf</t>
  </si>
  <si>
    <t>Dilophosaurus</t>
  </si>
  <si>
    <t>Disembodied hand</t>
  </si>
  <si>
    <t>Doppelganger</t>
  </si>
  <si>
    <t>Exploding Zombie</t>
  </si>
  <si>
    <t>Fast Zombie</t>
  </si>
  <si>
    <t>Flaming Skeleton</t>
  </si>
  <si>
    <t>Giant (Arrow)</t>
  </si>
  <si>
    <t>Giant (Rock)</t>
  </si>
  <si>
    <t>Goblin</t>
  </si>
  <si>
    <t>Goblin Archer</t>
  </si>
  <si>
    <t>Goblin Minion</t>
  </si>
  <si>
    <t>Goblin Spider Rider</t>
  </si>
  <si>
    <t>Goblin Theif</t>
  </si>
  <si>
    <t>Goblin Trap Master</t>
  </si>
  <si>
    <t>Great Worm</t>
  </si>
  <si>
    <t>Green Jell-O</t>
  </si>
  <si>
    <t>Hellfire Spout</t>
  </si>
  <si>
    <t>Hells Scorpion</t>
  </si>
  <si>
    <t>Juvenile Dragon</t>
  </si>
  <si>
    <t>Man Eatting Toilet</t>
  </si>
  <si>
    <t>Masks</t>
  </si>
  <si>
    <t>Mature Adult Dragon</t>
  </si>
  <si>
    <t>No-u-see-ems</t>
  </si>
  <si>
    <t>Octopus</t>
  </si>
  <si>
    <t>Oger</t>
  </si>
  <si>
    <t>Old Dragon</t>
  </si>
  <si>
    <t>Ork Archer</t>
  </si>
  <si>
    <t>Ork Beserker</t>
  </si>
  <si>
    <t>Ork Minion</t>
  </si>
  <si>
    <t>Ork War Boss</t>
  </si>
  <si>
    <t>Ork Warrior</t>
  </si>
  <si>
    <t>Ornthiomimus Swarm</t>
  </si>
  <si>
    <t>Overlord</t>
  </si>
  <si>
    <t>Perodactyl</t>
  </si>
  <si>
    <t>Poison Darts</t>
  </si>
  <si>
    <t>Rat</t>
  </si>
  <si>
    <t>Rat King</t>
  </si>
  <si>
    <t>Rat Swarm</t>
  </si>
  <si>
    <t>Red Jell-O</t>
  </si>
  <si>
    <t>Scorpion</t>
  </si>
  <si>
    <t>Scorpion minions</t>
  </si>
  <si>
    <t>Sith adept</t>
  </si>
  <si>
    <t>Sith disciple</t>
  </si>
  <si>
    <t>Sith knight</t>
  </si>
  <si>
    <t>Sith lord</t>
  </si>
  <si>
    <t>Sith master</t>
  </si>
  <si>
    <t>Sith Minion</t>
  </si>
  <si>
    <t>Sith warrior</t>
  </si>
  <si>
    <t>Shadow</t>
  </si>
  <si>
    <t>Skeleton</t>
  </si>
  <si>
    <t>Skull Lord</t>
  </si>
  <si>
    <t>Slug</t>
  </si>
  <si>
    <t>Snake Swarm</t>
  </si>
  <si>
    <t>Spider Swarm</t>
  </si>
  <si>
    <t>Spined Shadow</t>
  </si>
  <si>
    <t>Squirtle</t>
  </si>
  <si>
    <t>Treee (Evil)</t>
  </si>
  <si>
    <t>Toy Dolls</t>
  </si>
  <si>
    <t>Trap Door</t>
  </si>
  <si>
    <t>T-Rex</t>
  </si>
  <si>
    <t>Vacuum</t>
  </si>
  <si>
    <t>Velociraptor</t>
  </si>
  <si>
    <t>Very Old Dragon</t>
  </si>
  <si>
    <t>Very Young Dargon</t>
  </si>
  <si>
    <t>Viper</t>
  </si>
  <si>
    <t>Wartorle</t>
  </si>
  <si>
    <t>Wolf</t>
  </si>
  <si>
    <t>Worg</t>
  </si>
  <si>
    <t xml:space="preserve">Worm </t>
  </si>
  <si>
    <t>Wormling</t>
  </si>
  <si>
    <t>Yellow Jell-O</t>
  </si>
  <si>
    <t>Young Adult Dragon</t>
  </si>
  <si>
    <t>Young Dragon</t>
  </si>
  <si>
    <t>Zombie</t>
  </si>
  <si>
    <t>Zombie Minion</t>
  </si>
  <si>
    <t>ac</t>
  </si>
  <si>
    <t>fort</t>
  </si>
  <si>
    <t>will</t>
  </si>
  <si>
    <t>Choose one</t>
  </si>
  <si>
    <t>Basic Melee: Bite 
Reach 3
6+LVL vs. AC
2d6+LVL damage. +1 dice everv 5 levels (i.e. levels 5,10,15..)
Or 7 damage +LVL                                                                                                                                                       Pirecing damage = to monster LVL.</t>
  </si>
  <si>
    <t xml:space="preserve">Basic Melee: Bite 
Reach 3
10+LVL vs. AC
2d6+LVL damage.                                                                                           Pirecing damage = to monster LVL.
</t>
  </si>
  <si>
    <t>Basic Melee attack: Bite
2+LVL vs AC
damage 5 damage. disease: Rabies, a creature hit by this attack it will be filled with uncontrolled excitment and violance. The creature effected by this disease will attack the closest thing, friend or foe, and have a fear of water (save ends all). If the target fails it first save it will then fall unconsciouse (save ends).    +1 dice everv 5 levels (i.e. levels 5,10,15..)</t>
  </si>
  <si>
    <t>Basic Melee attack: Bite
2+LVL vs AC
damage 1d6 + LVL damage.  disease: Rabies, a creature hit by this attack it will be filled with uncontrolled excitment and violance. The creature effected by this disease will attack the closest thing, friend or foe, and have a fear of water (save ends all). If the target fails it first save it will then fall unconsciouse (save ends).    +1 dice everv 5 levels (i.e. levels 5,10,15..)</t>
  </si>
  <si>
    <t>Basic Ranged: Jell-o Shot
Range: 10
4+LVL vs AC
Damage: 2d6+ LVL damage.    +1 dice everv 5 levels (i.e. levels 5,10,15..)</t>
  </si>
  <si>
    <t>Basic Melee: Tackle                                                                                                                                                                  4 + LVL vs AC                                                                                                                                            1d6 + LVL Damage.    +1 dice everv 5 levels (i.e. levels 5,10,15..)</t>
  </si>
  <si>
    <t>Basic Melee: Shadow chain whip
Reach 2
Attack: 4+ LVL vs. AC
Damage 2d6 + LVL dark damage,   +1 dice everv 5 levels (i.e. levels 5,10,15..)</t>
  </si>
  <si>
    <t>Basic Melee: Bite                                     
Reach 2                                                                                                                                                          5+ LVL vs. AC 
Damage 1d8 + LVL, Pirecing damage = to monster LVL.    +1 dice everv 5 levels (i.e. levels 5,10,15..)</t>
  </si>
  <si>
    <t>Basic Melee: Scratch
Reach 1                                                                                                                                                                                                                                                                                                                                                                                                                                                        2+ LVL vs. AC 
Damage 1d4 + LVL. +1 dice everv 5 levels (i.e. levels 5,10,15..)</t>
  </si>
  <si>
    <t>Basic Melee: Bite                                                                                                         Pirecing damage = to monster LVL.
Reach 2                                                                                                                                                                                                                                                                                                                                                                                                                                     3+ LVL vs. AC 
Damage 4+LVL</t>
  </si>
  <si>
    <t xml:space="preserve">Basic Melee attack; Bite 
3+LVL vs. AC
5 damage . </t>
  </si>
  <si>
    <t>Melee attack: Swarm of Teeth                                                                                                               2 + LVL vs. AC 
1d6 + LVL damage, and ongoing damage equal to the monsters level and fear (save ends both).  Pirecing damage = to monster LVL.    +1 dice everv 5 levels (i.e. levels 5,10,15..)</t>
  </si>
  <si>
    <t xml:space="preserve">Melee attack Giant spiked Club
Reach 2
4 + LVL vs. AC
2d6 + LVL damage and the target is dazed and takes a -5+ Monster level to recharge thier powers.   (save ends) +1 dice everv 5 levels (i.e. levels 5,10,15..)
</t>
  </si>
  <si>
    <t>Ranged attack: trick flower                       Range:6.                                                 Attack: 1d4 + LVL vs AC.                            Hit: 1d6 + LVL water damage and the target is blinded (save ends) +1 dice everv 5 levels (i.e. levels 5,10,15..)</t>
  </si>
  <si>
    <t xml:space="preserve">Basic Melee attack; Squeeky hammer
3+LVL vs. AC
1d8 + LVL damage.   +1 dice everv 5 levels (i.e. levels 5,10,15..)                                                                                                                                                           </t>
  </si>
  <si>
    <t xml:space="preserve">Basic Melee: Shadow Claws
2+LVL vs. AC
5 Damage, -1 xLVL to targets AC (save ends)  </t>
  </si>
  <si>
    <t>Basic Melee: Shadow Claws 
Reach 2, 
+12 vs. AC
2d6 damage -5 to targets AC ( save ends)        Pirecing damage = to monster LVL.  +1 dice everv 5 levels (i.e. levels 5,10,15..)</t>
  </si>
  <si>
    <t xml:space="preserve">Basic Melee: Longsword Weapon
2+ LVL vs. AC                                                                                                                                                      5 damage. </t>
  </si>
  <si>
    <t>Ranged: Shadow Breath
close cone 5 
2 + LVL vs. will
The target is dazed (save ends)
if the target does not save he then falls unconscious for 1+LVL rounds.</t>
  </si>
  <si>
    <t>Basic Melee attack; Bite 
2+LVL vs. AC
1d6 + LVL damage, the target is diseased. +1 dice everv 5 levels (i.e. levels 5,10,15..)
Disease: Feeble (save ends) every turn that the character fails his saving throw the DC for the save increases by 1 to a max of 15</t>
  </si>
  <si>
    <t>Basic Melee: Bite 
3 + lvl vs. AC;
 1d6 + lvl damage, or 2d6 + lvl damage against a prone target. +1 dice everv 5 levels (i.e. levels 5,10,15..)
Pirecing damage = to monster LVL.</t>
  </si>
  <si>
    <t>Basic Range: Spit poison
3+ LVL vs. AC 
5 damage and the target is blinded and poisoned =monster lvl +4 (save ends both) +1 dice everv 5 levels (i.e. levels 5,10,15..)</t>
  </si>
  <si>
    <t>Basic Ranged:Finger Gun
Range 15
3+ LVL  vs. AC
1d4 + LVL damage. +1 dice everv 5 levels (i.e. levels 5,10,15..)</t>
  </si>
  <si>
    <t>Melee: Shadow Claws 
Reach 2, 
2 + LVL vs. AC
1d6 + LVL dark damage -3 to targets AC ( save ends) +1 dice everv 5 levels (i.e. levels 5,10,15..)</t>
  </si>
  <si>
    <t xml:space="preserve">Basic Melee: Longsword  Weapon
+ 2 + LVL vs. AC;                                                                                                                                       1d6 + LVL damage, and the target is marked until the end of the skeleton’s next turn; see also speed of the dead. +1 dice everv 5 levels (i.e. levels 5,10,15..)
</t>
  </si>
  <si>
    <t xml:space="preserve">Melee attack: punch
Attack: +2 + LVL vs AC 
1d4 +LVL damage +1 dice everv 5 levels (i.e. levels 5,10,15..)
</t>
  </si>
  <si>
    <t>Melee: Firey strike
+2+LVL vs. AC
1d6 + LVL fire damage +1 dice everv 5 levels (i.e. levels 5,10,15..)</t>
  </si>
  <si>
    <t>Ranged attack: Giant Arrow                                                                                             Range:20                                                                                              +4+LVL vs AC                                                                                            Hit:2D8+1D6+LVL Damage  +1 dice everv 5 levels (i.e. levels 5,10,15..)                                                         Special: takes a turn to reload</t>
  </si>
  <si>
    <t xml:space="preserve">Melee attack Giant Club
Reach 3
4 + LVL vs. AC
2d8 + LVL damage and the target is dazed (save ends) +1 dice everv 5 levels (i.e. levels 5,10,15..)
</t>
  </si>
  <si>
    <t xml:space="preserve">Melee: Spear 
Reach 2
+2 + LVL vs AC
5 Damage </t>
  </si>
  <si>
    <t>5 Damage</t>
  </si>
  <si>
    <t>Ranged: Gun
Range 10
+5+LVL vs AC
Damage 2d6+LVL           +1 dice everv 5 levels (i.e. levels 5,10,15..)      Pirecing damage = to monster LVL.</t>
  </si>
  <si>
    <t>Melee: Spear (Goblin)
Reach 2
+2 + LVL vs AC
Damage 1d4+LVL. This monster may make an attack for both the spider and goblin in the same turn.         +1 dice everv 5 levels (i.e. levels 5,10,15..)                Pirecing damage = to monster LVL.</t>
  </si>
  <si>
    <t>Ranged: Gun
Range 10
+2+LVL vs AC
Damage 1d6+LVL. +1 dice everv 5 levels (i.e. levels 5,10,15..)</t>
  </si>
  <si>
    <t xml:space="preserve">Melee: Bite                                                                                                          Pirecing damage = to monster LVL.
Reach 3
12 + LVL vs. AC
2d6+LVL damage. +1 dice everv 5 levels (i.e. levels 5,10,15..)
</t>
  </si>
  <si>
    <t>Melee: Poison hit 
+4+LVL vs. AC 
Damage: 1d6 and a ongoing 1+LVL poison damage (save ends).</t>
  </si>
  <si>
    <t>Trigger:
When a character enters the blast area of one of the hellfire spouts, the trap makes its first attack as an immediate reaction. It then enters the initiative order directly after the creature that triggered it, attacking each round.</t>
  </si>
  <si>
    <t xml:space="preserve">Basic Melee: Claws Fire 
+2 + LVL vs. AC                                                                                                                                           2d6 + LVL damage, and the target is grabbed (until escape). A grabbed target takes 1+ half LVL fire damage at the start of the hells scorpion’s turn. +1 dice everv 5 levels (i.e. levels 5,10,15..)
</t>
  </si>
  <si>
    <t>Melee: Bite 
Reach 3
4 + LVL vs. AC
2d6+LVL damage.
Pirecing damage = to monster LVL. +1 dice everv 5 levels (i.e. levels 5,10,15..)</t>
  </si>
  <si>
    <t xml:space="preserve">Basic Melee: Bite
+2 + LVL vs. AC
1d6+ LVL damage and the target is grabbed.  +1 dice everv 5 levels (i.e. levels 5,10,15..)
Pirecing damage = to monster LVL.
</t>
  </si>
  <si>
    <t>Melee Dominate
+2+ LVL vs. will
Damage 1d4 and the target is dominated (save ends) +1 dice everv 5 levels (i.e. levels 5,10,15..)</t>
  </si>
  <si>
    <t>Melee: Bite 
Reach 3
2 + LVL vs. AC
2d6+LVL damage.
Pirecing damage = to monster LVL.</t>
  </si>
  <si>
    <t xml:space="preserve">Melee: Under Armor Bite
+3 + LVL vs. AC
Damage: 1d6 + LVL if no-u-see-ems attack the same target next turn the target is at -1 AC +LVL (save ends). +1 dice everv 5 levels (i.e. levels 5,10,15..)
Pirecing damage = to monster LVL.
</t>
  </si>
  <si>
    <t>Melee : Tentacle Hold recharge 4+                                                                                             Reach: 3
+4 + LVL vs. AC
1d4 damage and the target is grabbed, you may move the target so that it is adjacent. +1 dice everv 5 levels (i.e. levels 5,10,15..)
Special: you may use Tentacle Hold 4 times on differant targets in the same turn.</t>
  </si>
  <si>
    <t xml:space="preserve">Melee attack Giant Club
Reach 2
4 + LVL vs. AC
2d6 + LVL damage and the target is dazed (save ends). +1 dice everv 5 levels (i.e. levels 5,10,15..)
</t>
  </si>
  <si>
    <t>Melee: Bite 
Reach 3
8 + LVL vs. AC
2d6+LVL damage. +1 dice everv 5 levels (i.e. levels 5,10,15..)
Pirecing damage = to monster LVL.</t>
  </si>
  <si>
    <t xml:space="preserve">Ranged: Big Gun
Range 10 
+1 + LVL vs AC                                                                                                                                 5 Damage </t>
  </si>
  <si>
    <t xml:space="preserve">Melee attack Greataxe 
+3 + LVL  vs. AC;                                                                                                                                      Critical 17+
1d6 +LVL damage +1 dice everv 5 levels (i.e. levels 5,10,15..)
</t>
  </si>
  <si>
    <t xml:space="preserve">Melee attack Crack em on the ead
+8+LVL vs. AC; 
2d8 + LVL damage. +1 dice everv 5 levels (i.e. levels 5,10,15..)
</t>
  </si>
  <si>
    <t xml:space="preserve">Basic Melee attack Hammer
+ 3 + LVL vs. AC
2d6 + LVL damage. +1 dice everv 5 levels (i.e. levels 5,10,15..)
</t>
  </si>
  <si>
    <t xml:space="preserve">Melee Battleaxe
+3+ LVL vs. AC; 
1d6+LVL damage. +1 dice everv 5 levels (i.e. levels 5,10,15..)
</t>
  </si>
  <si>
    <t>Basic Melee Swarm bite
2+ vs AC
5 damage</t>
  </si>
  <si>
    <t xml:space="preserve">Melee: Longsword Weapon
+ 3+ LVL vs. AC;
1d6 + LVL damage +1 dice everv 5 levels (i.e. levels 5,10,15..)
</t>
  </si>
  <si>
    <t>Basic Melee attack Bite
3 + LVL vs AC
2d6 + LVL damage. +1 dice everv 5 levels (i.e. levels 5,10,15..)</t>
  </si>
  <si>
    <t>Trigger:
When a character enters the line of one of the Poison darts, the trap makes its first attack as an immediate reaction. It then enters the initiative order directly after the creature that triggered it, attacking each round.</t>
  </si>
  <si>
    <t>Basic Melee attack: Bite 
2+LVL vs. AC
hit:Disease: Feeble (save ends) every turn that the character fails his saving throw the DC for the save increases by 1 to a max of 15</t>
  </si>
  <si>
    <t>Basic Melee: Scratch
Reach 1                                                                                                                                                                                                                                                                                                                                                                                                                                                         2+ LVL vs. AC 
Damage 2d4 + LVL and the target is Diseased.      +1 dice everv 5 levels (i.e. levels 5,10,15..)             Disease: Feeble (save ends) every turn that the character fails his saving throw the DC for the save increases by 1 to a max of 15</t>
  </si>
  <si>
    <t>Melee attack: Swarm of Teeth                                                                                                               2 + LVL vs. AC 
1d6 + LVL damage, and ongoing damage equal to the monsters level  (save ends), Diseased. 
Disease: Feeble (save ends) every turn that the character fails his saving throw the DC for the save increases by 1 to a max of 15</t>
  </si>
  <si>
    <t>Basic Melee Attack: Slam
4+ LVL Vs AC
Damage: 1d6 + LVL.  +1 dice everv 5 levels (i.e. levels 5,10,15..)</t>
  </si>
  <si>
    <t xml:space="preserve">Melee: Claws 
+3 + LVL vs. AC;
1d6 + LVL damage, and a Medium or smaller target is grabbed (until escape). A grabbed target takes 5 damage at the start of the scorpion’s turn. +1 dice everv 5 levels (i.e. levels 5,10,15..)
</t>
  </si>
  <si>
    <t xml:space="preserve">Melee Sting Poison
+3 + LVL vs. ACitude;
1d6 + LVL damage, and the target takes ongoing poison damage equal to half MLVL and is immobilized (save ends both).  +1 dice everv 5 levels (i.e. levels 5,10,15..)
</t>
  </si>
  <si>
    <t>Light saber.                                                                     Melee.                                +2+lvl vs AC.                                                     1d6+lvl damage ignores damage resistance  +1 dice everv 5 levels (i.e. levels 5,10,15..)                                                                                                                                              Pirecing damage = to monster LVL.</t>
  </si>
  <si>
    <t>Light saber.                                                                     Melee.                                +4+lvl vs AC.                                                     1d6+lvl damage ignores damage resistance. +1 dice everv 5 levels (i.e. levels 5,10,15..)                                                                                                                                                Pirecing damage = to monster LVL.</t>
  </si>
  <si>
    <t>Light saber.                                                                     Melee.                                +5+lvl vs AC.                                                     1d6+lvl damage ignores damage resistance. +1 dice everv 5 levels (i.e. levels 5,10,15..)                                                                                                                                                Pirecing damage = to monster LVL.</t>
  </si>
  <si>
    <t>Light saber.                                                                     Melee.                                +5+lvl vs AC.                                                     1d6+lvl damage ignores damage resistance                                                                                                                                                Pirecing damage = to monster LVL. +1 dice everv 5 levels (i.e. levels 5,10,15..)</t>
  </si>
  <si>
    <t>Light saber.                                                                     Melee.                                +5+lvl vs AC.                                                     2d6+lvl damage ignores damage resistance. +1 dice everv 5 levels (i.e. levels 5,10,15..)                                                                                                                                               Pirecing damage = to monster LVL.</t>
  </si>
  <si>
    <t>Light saber.                                                                     Melee.                                +5+lvl vs AC.                                                     1d6+lvl damage ignores damage resistance. +1 dice everv 5 levels (i.e. levels 5,10,15..)                                                                                                                                               Pirecing damage = to monster LVL.</t>
  </si>
  <si>
    <t>Melee: Shadow Claws 
Reach 2,                                                                                                                                                                            2+ LVL vs. AC 
2d6 + LVL damage -2 to targets AC ( save ends). +1 dice everv 5 levels (i.e. levels 5,10,15..)</t>
  </si>
  <si>
    <t>Basic Melee: Longsword Weapon
+2+LVL vs. AC;                                                                                                                                                   1d6 + Level damage</t>
  </si>
  <si>
    <t>Basic Melee: Bone Staff (head 1)
+4 + LVL vs. AC; 
1d6 + LVL damage plus 1d4 dark damage. +1 dice everv 5 levels (i.e. levels 5,10,15..)</t>
  </si>
  <si>
    <t xml:space="preserve">Melee:Tongue
Reach 2
+3 + LVL vs. AC
2d4 + LVL acid Damage. +1 dice everv 5 levels (i.e. levels 5,10,15..)
</t>
  </si>
  <si>
    <t xml:space="preserve">Melee: Coil
+2 + LVL vs. AC
Damage: 5 and the target is grabbed. </t>
  </si>
  <si>
    <t>Melee: Swarm of Fangs 
+2 + LVL vs. AC;                                                                                                                               1d6 + LVL damage, and ongoing Half LVL poison damage (save ends). +1 dice everv 5 levels (i.e. levels 5,10,15..)</t>
  </si>
  <si>
    <t>Melee: Shadow Claws 
Reach 2, 
2+ LVL vs. AC
1d4 + LVL dark damage -3 to targets AC ( save ends). +1 dice everv 5 levels (i.e. levels 5,10,15..)</t>
  </si>
  <si>
    <t xml:space="preserve">Melee: Bite                                                                                                                                             +2 + LVL vs. AC 
Damage 1d6+ LVL +1 dice everv 5 levels (i.e. levels 5,10,15..)
</t>
  </si>
  <si>
    <t>Melee: Whip                                                                               Reach 2                                                                    +2+LVL vs. AC                                                                                                   Damage: 1d6+LVL. +1 dice everv 5 levels (i.e. levels 5,10,15..)</t>
  </si>
  <si>
    <t xml:space="preserve">Basic Ranged: Stare 
Range 13
+3+LVL vs. will
2d4 + LVL damage and the target is stunned (save ends). +1 dice everv 5 levels (i.e. levels 5,10,15..)
</t>
  </si>
  <si>
    <t xml:space="preserve">Trigger:
When a character moves threw the square with the trap door, the trap is triggered as an immediate reaction. </t>
  </si>
  <si>
    <t>Basic Melee: Bite
Reach 3
4 + LVL vs. AC
2d6 + twice LVL and the target is grabbed (save ends).                                                                                                                                                                   Pirecing damage = to monster LVL.</t>
  </si>
  <si>
    <t>Free action 
Close: Suck 
Close Blast 5
3 + LVL vs AC
Effect all in the blast are pulled up to 3 squares.</t>
  </si>
  <si>
    <t>Melee: Bite
3 + LVL vs AC
1D6 + LVL damage.  +1 dice everv 5 levels (i.e. levels 5,10,15..)     Pirecing damage = to monster LVL.</t>
  </si>
  <si>
    <t>Melee: Bite 
Reach 3
9 + LVL vs. AC
2d6+LVL damage. +1 dice everv 5 levels (i.e. levels 5,10,15..)
Pirecing damage = to monster LVL.</t>
  </si>
  <si>
    <t>Melee: Bite 
Reach 3
2 + LVL vs. AC
2d6+LVL damage. +1 dice everv 5 levels (i.e. levels 5,10,15..)
Pirecing damage = to monster LVL.</t>
  </si>
  <si>
    <t>Basic Melee: Bite
+2 + LVL vs. AC;                                                                                                                                                                               1d6 + LVL damage, and viper may make a secondary attack against the same target.  +1 dice everv 5 levels (i.e. levels 5,10,15..)
Secondary Attack: +3 + LVL vs. ACitude;                                                                                        1d4 + LVL poison damage, and ongoing Half LVL poison damage (save ends). +1 dice everv 5 levels (i.e. levels 5,10,15..)                                                                                                         Pirecing damage = to monster LVL.</t>
  </si>
  <si>
    <t>Melee: Bite
Reach 2                                                                                                                                                           +2+LVL vs. AC                                                                                                                                           Damage 1d6 + LVL+1 dice everv 5 levels (i.e. levels 5,10,15..)
Pirecing damage = to monster LVL.</t>
  </si>
  <si>
    <t>Melee:Bite 
2+LVL vs. AC                                                                                                                                                        1d6 + LVL damage, or 2d6 + LVL damage against a down target. +1 dice everv 5 levels (i.e. levels 5,10,15..)
Pirecing damage = to monster LVL.</t>
  </si>
  <si>
    <t>Basic Melee: Bite 
3+ LVL vs. AC                                                                                                                                                       2d6 + LVL damage, and ongoing damage equal to the Worges level (save ends). +1 dice everv 5 levels (i.e. levels 5,10,15..)                                                                                                       Pirecing damage = to monster LVL.</t>
  </si>
  <si>
    <t>Melee: Bite 
Reach 3
11 + LVL vs. AC
2d6+LVL damage. +1 dice everv 5 levels (i.e. levels 5,10,15..)
Pirecing damage = to monster LVL.</t>
  </si>
  <si>
    <t>Melee: Bite 
Reach 3
1 + LVL vs. AC
2d6+LVL damage. +1 dice everv 5 levels (i.e. levels 5,10,15..)
Pirecing damage = to monster LVL.</t>
  </si>
  <si>
    <t xml:space="preserve">Mimic 
yellow may use any attack used against it in the last turn with a attack power of + 2 + LVL, in addition yellow may use any weapons stuck in it. if no attacks were made against it last turn Yellow may not attack this turn.
</t>
  </si>
  <si>
    <t>Melee: Bite 
Reach 3
5 + LVL vs. AC
2d6+LVL damage. +1 dice everv 5 levels (i.e. levels 5,10,15..)
Pirecing damage = to monster LVL.</t>
  </si>
  <si>
    <t>Melee: Bite 
Reach 3
3 + LVL vs. AC
2d6+LVL damage. +1 dice everv 5 levels (i.e. levels 5,10,15..)
Pirecing damage = to monster LVL.</t>
  </si>
  <si>
    <t xml:space="preserve">Melee attack: slam ( charge attack) 
Attack: +2+LVL vs AC 
1d6 + LVL damage +1 dice everv 5 levels (i.e. levels 5,10,15..)
</t>
  </si>
  <si>
    <t xml:space="preserve">Basic Melee attack: slam (charge attack)
Attack: +5 + LVL vs AC 
2d6 + LVL damage +1 dice everv 5 levels (i.e. levels 5,10,15..)
</t>
  </si>
  <si>
    <t>Melee: Claw 
Reach 3
6+LVL vs. AC 
2d6+LVL damage. +1 dice everv 5 levels (i.e. levels 5,10,15..)
Pirecing damage = to monster LVL.</t>
  </si>
  <si>
    <t>Melee: Claw 
Reach 3
10+LVL vs. AC 
2d6+LVL damage. +1 dice everv 5 levels (i.e. levels 5,10,15..)
Pirecing damage = to monster LVL.</t>
  </si>
  <si>
    <t>The bat may fly up to 8 squares and makes one melee basic attack at any point during that movement. The bat doesn’t provoke opportunity attacks when moving away from the target of the attack.</t>
  </si>
  <si>
    <t>Close: Jell-O Blast recharge 4+ 
Close blast 3
4 + LVL vs AC 
Damage: monster LVL + 4.</t>
  </si>
  <si>
    <t xml:space="preserve">Basic Melee: Vine Whip                                                                                                                                Reach: 2                                                                                                                                                       4 + LVL vs AC                                                                                                                                               2d6 + LVL damage   +1 dice everv 5 levels (i.e. levels 5,10,15..) </t>
  </si>
  <si>
    <t>Melee Shadow Chain wrap
Reach 2
Attack: 4+LVL vs. AC
Hit: the target is restrained. You may only restrain one Pc at a time</t>
  </si>
  <si>
    <t>Melee: Scratch
Reach 2                                                                                                                                                                    5+ LVL vs. AC 
Hit: 2d6 + LVL. Pirecing damage = to monster LVL.   +1 dice everv 5 levels (i.e. levels 5,10,15..)</t>
  </si>
  <si>
    <t xml:space="preserve">Close Growl
Close blast 1
4+LVL vs. Will 
Effect: all Enemys in the blast are at -1 +monster LVL attack. </t>
  </si>
  <si>
    <t>Melee: Scratch
Reach 1                                                                                                                                                                                                                                                                                                                                                                                                                                     3+ LVL vs. AC 
Damage 4+LVL</t>
  </si>
  <si>
    <t xml:space="preserve">Basic Melee: Hammer
Reach 1                                                                                                                                                                                                                                                                                                                                                                                                                                                         4+ LVL vs. AC 
Hit: 1d6 + LVL and takes a -5+ Monster level to recharge thier powers (save ends).  +1 dice everv 5 levels (i.e. levels 5,10,15..)                                                                                           </t>
  </si>
  <si>
    <t>Swarm Attack aura 1: the clown swarm makes a basic attack as a free action against each enemy that begins its turn in the aura.</t>
  </si>
  <si>
    <t>Ranged attack: trick flower                       Range:6.                                                 Attack: 3 + LVL vs AC.                              Hit: 5 water damage and the target is blinded (save ends) +1 dice everv 5 levels (i.e. levels 5,10,15..)</t>
  </si>
  <si>
    <t>close attack: swirling chaos                                Close Blast 3                  Targets: all in the blast                                           Attack: 1d4 + LVL vs AC.                              1d6 + LVL damage and the targets are pushed back 2 squares knocked down and dazed (save ends dazed)                      Effect: Happy may teleport 1d4 squares in a random direction.   +1 dice everv 5 levels (i.e. levels 5,10,15..)</t>
  </si>
  <si>
    <t>Ranged attack: Bang Pistol                       Range:6.                                                 Attack: 2 + LVL vs AC.                              1d6 + LVL damage. +1 dice everv 5 levels (i.e. levels 5,10,15..)</t>
  </si>
  <si>
    <t xml:space="preserve">Melee: Dominating Reach
recharge 5+
Reach 2, 
2+LVL vs. Will 
1d4+LVL Damage and the target is dominated (save ends). +1 dice everv 5 levels (i.e. levels 5,10,15..)
</t>
  </si>
  <si>
    <t xml:space="preserve">Melee: Dominating Reach Recharge 4+
Recharge 4+
Reach 2, 
+12 vs. Will 
2d6 Damage and the target is dominated (save ends) +1 dice everv 5 levels (i.e. levels 5,10,15..)
</t>
  </si>
  <si>
    <t>Basic Ranged: Shortbow
Range 15                                                                                                                                                      2 + LVL vs. AC;                                                                                                                                               2d4 +LVL damage  +1 dice everv 5 levels (i.e. levels 5,10,15..)</t>
  </si>
  <si>
    <t>Melee: Devour Shadow
Affects only unconscious targets
2 + LVL vs. AC
1D6 + LVL dark damage and the Devourer heals 15hp this attack does not awaken unconscious targets. +1 dice everv 5 levels (i.e. levels 5,10,15..)</t>
  </si>
  <si>
    <t>Basic Melee: Scratch
Reach 1                                                                                                                                                                                                                                                                                                                                                                                                                                                         2+ LVL vs. AC 
Damage 1d4 + LVL  Disease: Feeble (save ends) every turn that the character fails his saving throw the DC for the save increases by 1 to a max of 15. +1 dice everv 5 levels (i.e. levels 5,10,15..)</t>
  </si>
  <si>
    <t>Pack Hunter: If a wolf flanks the target, the target is also knocked down on a hit.</t>
  </si>
  <si>
    <t>Melee: Bite
3+ LVL vs AC
1d6 + LVL damage and the target takes an ongoing poison damage equal to the monsters level (Save ends).   Pirecing damage = to monster LVL. +1 dice everv 5 levels (i.e. levels 5,10,15..)</t>
  </si>
  <si>
    <t>Melee: Strangle Recharge 4+
3+ LVL vs. AC
2d6 + LVL damage and the target is grabbed (save ends) If the target fails its first save it then falls stunned (save ends both). +1 dice everv 5 levels (i.e. levels 5,10,15..)</t>
  </si>
  <si>
    <t>Range: Perfect Copy. 
Range:10
When a doppelganger uses this power, it can assume the appearance of specific individual.</t>
  </si>
  <si>
    <t xml:space="preserve">Speed of the Dead
When making an opportunity attack, the skeleton gains a +2 bonus to the attack roll and deals an extra 1d6 damage.
</t>
  </si>
  <si>
    <t xml:space="preserve">Melee attack: bite
Recharge 5+
Attack: +10 vs AC
Damage: 5 Nanobots Infection.
Nanobot infection; target takes an ongoing 2 damage (save ends). If the target fails the first save the target becomes slowed, if the target fails a third time or the target becomes weakened, then it is dominated becoming the same type of zombie that just attacked it (Save ends both).
</t>
  </si>
  <si>
    <t xml:space="preserve">Ranged: Flames
+2+LVL vs AC
1d6 + LVL fire damage +1 dice everv 5 levels (i.e. levels 5,10,15..)
</t>
  </si>
  <si>
    <t xml:space="preserve">Melee attack Giant Club
Reach 3
1 + LVL vs. AC
2d6 + LVL damage and the target is dazed (save ends) +1 dice everv 5 levels (i.e. levels 5,10,15..)
</t>
  </si>
  <si>
    <t>Ranged Attack: Throw Rock                                                                        Range: 8, Blast 1                                                                                            Attack: 1+LVL vs. AC                                                                                                       Hit: 2D6+LVL damage +1 dice everv 5 levels (i.e. levels 5,10,15..)</t>
  </si>
  <si>
    <t xml:space="preserve">Favored Enemy: Cats
Gain a + 2 attack power and damage vs favored enemy, and a further +1 attack power at level 5.
</t>
  </si>
  <si>
    <t>Melee: Spear 
Reach 2
+5 + LVL vs AC
Damage 2d4+LVL.</t>
  </si>
  <si>
    <t>Ranged: Gun(Goblin)
Range 10
+2+LVL vs AC
Damage 1d6+LVL This monster may make an attack for both the spider and goblin in the same turn. +1 dice everv 5 levels (i.e. levels 5,10,15..)</t>
  </si>
  <si>
    <t xml:space="preserve">Melee: Dagger
+2 + LVL vs AC
5 Damage </t>
  </si>
  <si>
    <t>Melee: Spear 
Reach 2
+2 + LVL vs AC
Damage 1d4+LVL.        +1 dice everv 5 levels (i.e. levels 5,10,15..)    Pirecing damage = to monster LVL.</t>
  </si>
  <si>
    <t xml:space="preserve">Melee: Claw 
Reach 3
12 + LVL vs. AC 
2d6+LVL damage. +1 dice everv 5 levels (i.e. levels 5,10,15..)
</t>
  </si>
  <si>
    <t xml:space="preserve">Special: Sticky 
Trigger when ever Green is hit with a melee attack.
Effect: weapon is stuck to Jell-o and the target takes 1+LVL poison damage, (save ends poison) </t>
  </si>
  <si>
    <t xml:space="preserve">Attack:
Close Cone 3
Targets: Creatures in blast
Attack: +10 vs. AC
Hit: 3d4 + LVL fire damage and ongoing 1+Half LVL fire damage (save ends). +1 dice everv 5 levels (i.e. levels 5,10,15..)
Miss: Half damage, and no ongoing damage.
</t>
  </si>
  <si>
    <t xml:space="preserve">Melee: Hellish Sting Fire, Poison
+ 4 + LVL vs. ACitude;                                                                                                                             1d6 + LVL damage, and the target takes ongoing 2 + Half LVL fire and poison damage and is weakened (save ends both). The hells scorpion can use this attack against a target it has grabbed. +1 dice everv 5 levels (i.e. levels 5,10,15..)
</t>
  </si>
  <si>
    <t>Melee: Claw 
Reach 3
4 + LVL vs. AC 
2d6+LVL damage. +1 dice everv 5 levels (i.e. levels 5,10,15..)</t>
  </si>
  <si>
    <t>Melee: Flush: 
the target must be grabbed
+3 + LVL vs. AC
2d6 damage and an on going water damage equal to the monsters level (Save ends).  +1 dice everv 5 levels (i.e. levels 5,10,15..)</t>
  </si>
  <si>
    <t xml:space="preserve">Ranged: Fear
Range Close cone 3 
+4+ LVL vs Will
Damage 2d6 damage and the target is feared. +1 dice everv 5 levels (i.e. levels 5,10,15..)
</t>
  </si>
  <si>
    <t xml:space="preserve">Melee: Claw 
Reach 3
2 + LVL vs. AC 
2d6+LVL damage. +1 dice everv 5 levels (i.e. levels 5,10,15..)
</t>
  </si>
  <si>
    <t xml:space="preserve">Melee: Poison Sting
+3 + LVL vs. AC 
Damage: 1D6 +LVL and an ongoing 2+half LVL poison damage (save ends). +1 dice everv 5 levels (i.e. levels 5,10,15..)
</t>
  </si>
  <si>
    <t>Basic Melee: Bite 
the target must be grabbed
+3 + LVL vs. AC
2d6 +LVL damage . +1 dice everv 5 levels (i.e. levels 5,10,15..)                                                                    Pirecing damage = to monster LVL.</t>
  </si>
  <si>
    <t xml:space="preserve">Melee attack: Javelin 
Range 8
3+LVL vs. AC
1d6+ LVL damage. +1 dice everv 5 levels (i.e. levels 5,10,15..)
</t>
  </si>
  <si>
    <t xml:space="preserve">Melee: Claw 
Reach 3
8 + LVL vs. AC 
2d6+LVL damage. +1 dice everv 5 levels (i.e. levels 5,10,15..)
</t>
  </si>
  <si>
    <t xml:space="preserve">Melee attack dagger 
+2 + LVL vs. AC;                                                                                                                                                    1d4+ LVL damage. +1 dice everv 5 levels (i.e. levels 5,10,15..)
</t>
  </si>
  <si>
    <t xml:space="preserve">Melee attack Whirlwind                                                                                                                      Close blast 1
+3 + LVL  vs. AC                                                                                                                                      Critical 17+
1d4 +LVL damage +1 dice everv 5 levels (i.e. levels 5,10,15..)
</t>
  </si>
  <si>
    <t xml:space="preserve">Chaos Hammer 
Close Blast 1
+3 + LVL vs. AC
1d6 + LVL force damage, and the target is knocked down. +1 dice everv 5 levels (i.e. levels 5,10,15..)
Miss: Half damage, and the target is not knocked down
</t>
  </si>
  <si>
    <t xml:space="preserve">Melee: Swarm over 
3+ lvl vs AC
1d4 + twice lvl damage +1 dice everv 5 levels (i.e. levels 5,10,15..)
</t>
  </si>
  <si>
    <t xml:space="preserve">Close: Blast Back
+ 3+ LVL vs. AC;
1d4 damage and the targets are push back 2 squares. +1 dice everv 5 levels (i.e. levels 5,10,15..)
</t>
  </si>
  <si>
    <t>Basic: Melee Grab
4+ LVL vs. AC,
1d6 + LVL damage and the target is grabed.        Carry: you may move the grabed target along with you and drop it at any point during your move, if you are using this attack as part of the striffing attack.</t>
  </si>
  <si>
    <t xml:space="preserve">Attack:
Close Line 4
Target: closest creature to the trap within the line
Attack: +4 + LVL vs. AC
Hit: 2d4 + LVL poison damage, and an ongoing 3+ half LVL poison damage (save ends). +1 dice everv 5 levels (i.e. levels 5,10,15..)
</t>
  </si>
  <si>
    <t>Melee attack Bite                                                                                                                                       4+ LVL vs. AC                                                                                                                                                 2d6 + LVL damage and the target is diseased. 
Disease: Feeble (save ends) every turn that the character fails his saving throw the DC for the save increases by 1 to a max of 15                                                                                                                  Pirecing damage = to monster LVL.</t>
  </si>
  <si>
    <t>Special: Rage
Trigger: When Red is weakened 
Effect: + half LVL damage and attack power bonus.</t>
  </si>
  <si>
    <t xml:space="preserve">Melee: Sting Poison 
+3 + LVL vs. ACitude; 
1d4 + LVL damage, and the target takes ongoing 5 poison damage and is immobilized (save ends both). The scorpion can use this attack against a target it has grabbed. +1 dice everv 5 levels (i.e. levels 5,10,15..)
</t>
  </si>
  <si>
    <t xml:space="preserve">Basic Melee: Claws 
+3 + LVL vs. AC;
1d6 + LVL damage, and a Medium or smaller target is grabbed (until escape). A grabbed target takes 1 + LVL damage at the start of the scorpion’s turn. +1 dice everv 5 levels (i.e. levels 5,10,15..)
</t>
  </si>
  <si>
    <t xml:space="preserve">Force pull/push.                                                       Range 10 
Target: One monster 
Attack: 2+LVL vs. AC 
Hit: 1d4 + lvl  damage, and you push or pull the target 1 square. +1 dice everv 5 levels (i.e. levels 5,10,15..)
Special: This power can be used as a ranged basic attack </t>
  </si>
  <si>
    <t xml:space="preserve">Force pull/push.                                                       Range 10 
Target: One monster 
Attack: 4+LVL vs. AC 
Hit: 1d4 + lvl  damage, and you push or pull the target 1 square.  +1 dice everv 5 levels (i.e. levels 5,10,15..)
Special: This power can be used as a ranged basic attack </t>
  </si>
  <si>
    <t xml:space="preserve">Force pull/push.                                                       Range 10 
Target: One monster 
Attack: 5+LVL vs. AC 
Hit: 1d4 + lvl  damage, and you push or pull the target 1 square.  +1 dice everv 5 levels (i.e. levels 5,10,15..)
Special: This power can be used as a ranged basic attack </t>
  </si>
  <si>
    <t xml:space="preserve">Force pull/push.                                                       Range 10 
Target: One monster 
Attack: 5+LVL vs. AC 
Hit: 2d4 + lvl  damage, and you push or pull the target 1 square.  +1 dice everv 5 levels (i.e. levels 5,10,15..)
Special: This power can be used as a ranged basic attack </t>
  </si>
  <si>
    <t>Melee: Dominating Reach 
Recharge 6+
Reach 2,                                                                                                                                                            2 + LVL vs. Will
5+ LVL Damage and the target is dominated (save ends) +1 dice everv 5 levels (i.e. levels 5,10,15..)</t>
  </si>
  <si>
    <t>Basic Ranged: Shortbow
Ranged 15                                                                                                                                                    +3+LVL vs. AC;                                                                                                                                                    5 damage</t>
  </si>
  <si>
    <t xml:space="preserve">Ranged: Skull of Bonechilling Fear (Head 2)
Ranged 10                                                                                                                                                         +4 + LVL vs. Will 
1d6 + LVL cold damage, and the target is pushed 5 squares. +1 dice everv 5 levels (i.e. levels 5,10,15..)
</t>
  </si>
  <si>
    <t xml:space="preserve">Ranged: Spit Acid
Range: 8
+ 2 + LVL vs AC
1d6 + LVL acid damage. +1 dice everv 5 levels (i.e. levels 5,10,15..)
</t>
  </si>
  <si>
    <t xml:space="preserve">Melee: Bite, 
+2 + LVL vs. AC 
Damage: 1D6 + LVL poison damage and an ongoing Half LVL poison damage (save ends).
</t>
  </si>
  <si>
    <t>Melee attack: Hide in the shadows
2+ LVL vs. AC
1d6 + LVL  dark damage and the spined shadow hides in the targets shadow becoming invisible. +1 dice everv 5 levels (i.e. levels 5,10,15..)</t>
  </si>
  <si>
    <t xml:space="preserve">Shell
Target: Self 
Squirtle gains + half LVL bonus to all deference until the end of the encounter.
</t>
  </si>
  <si>
    <t>Melee: Limb Slam                                                                          Target: 0ne enemy                                                                                              Attack: +2+LVL vs AC                                                                                            Damage: 2d6+LVL. +1 dice everv 5 levels (i.e. levels 5,10,15..)</t>
  </si>
  <si>
    <t xml:space="preserve">Melee: Behind you
+3 + LVL vs. AC
Special: the doll attacks then teleports 4 squares away. 
1d4 + 2xLVL damage
</t>
  </si>
  <si>
    <t xml:space="preserve">Attack:
Target: all creatures within the trap
Attack: +4 + LVL vs. AC
Hit: 2d6 + LVL falling damage, and an ongoing 1+ half LVL bleeding damage (save ends)
</t>
  </si>
  <si>
    <t>Melee: Claw 
Reach 3
2 + Level  vs. AC 
1d4 + lvl damage. +1 dice everv 5 levels (i.e. levels 5,10,15..)</t>
  </si>
  <si>
    <t xml:space="preserve">Close: Explode bag
Close Blast 2
+5+LVL vs. AC
Damage: 2d6 +LVL and the target is knocked down. Vacuum is destroyed. +1 dice everv 5 levels (i.e. levels 5,10,15..)
</t>
  </si>
  <si>
    <t>Melee: Claw
4+ LVL vs. AC                                                                                                                                      critical: 18+ damge: x3
2d6 + LVL damage. +1 dice everv 5 levels (i.e. levels 5,10,15..)</t>
  </si>
  <si>
    <t>Melee: Claw 
Reach 3
9 + LVL vs. AC 
2d6+LVL damage. +1 dice everv 5 levels (i.e. levels 5,10,15..)
Pirecing damage = to monster LVL.</t>
  </si>
  <si>
    <t>Melee: Claw 
Reach 3
2 + LVL vs. AC 
2d6+LVL damage. +1 dice everv 5 levels (i.e. levels 5,10,15..)
Pirecing damage = to monster LVL.</t>
  </si>
  <si>
    <t xml:space="preserve">Utility – Withdraw
Self 
Wartortle gains + Half LVL bonus to all deference until the end of the encounter.
</t>
  </si>
  <si>
    <t>Melee: Claw 
3 + LVL vs. AC 
2d6+LVL damage. +1 dice everv 5 levels (i.e. levels 5,10,15..)
Pirecing damage = to monster LVL.</t>
  </si>
  <si>
    <t>Melee: Claw 
Reach 3
11 + LVL vs. AC 
2d6+LVL damage. +1 dice everv 5 levels (i.e. levels 5,10,15..)
Pirecing damage = to monster LVL.</t>
  </si>
  <si>
    <t>Melee: Claw 
Reach 3
1 + LVL vs. AC 
2d6+LVL damage. +1 dice everv 5 levels (i.e. levels 5,10,15..)
Pirecing damage = to monster LVL.</t>
  </si>
  <si>
    <t xml:space="preserve">Special: Sticky 
Trigger when ever jell-o is hit with a melee attack.
Effect: weapon is stuck to Jell-o </t>
  </si>
  <si>
    <t>Melee: Claw 
Reach 3
5 + LVL vs. AC 
2d6+LVL damage. +1 dice everv 5 levels (i.e. levels 5,10,15..)
Pirecing damage = to monster LVL.</t>
  </si>
  <si>
    <t>Melee: Claw 
Reach 3
3 + LVL vs. AC 
2d6+LVL damage. +1 dice everv 5 levels (i.e. levels 5,10,15..)
Pirecing damage = to monster LVL.</t>
  </si>
  <si>
    <t xml:space="preserve">Melee attack: punch
 Reach 2
Attack: +2LVL vs AC 
1d6 + LVL damage +1 dice everv 5 levels (i.e. levels 5,10,15..)
</t>
  </si>
  <si>
    <t xml:space="preserve">Melee attack: punch
Attack: +7 + lvl vs AC 
2d4 + LVL damage +1 dice everv 5 levels (i.e. levels 5,10,15..)
</t>
  </si>
  <si>
    <t xml:space="preserve">Melee: Tail Strike
immediate reaction Trigger: when an enemy moves to a position where it flanks the dragon
Effect: The dragon attacks the enemy with its tail:                               reach 3
4+LVL vs. AC
2d6+ half LVL damage, and the target is pushed back 2 squares. +1 dice everv 5 levels (i.e. levels 5,10,15..)
</t>
  </si>
  <si>
    <r>
      <t xml:space="preserve">Melee: Tail Strike
immediate reaction Trigger: when an enemy moves to a position where it flanks the dragon
Effect: The dragon attacks the enemy with its tail:                               reach 3
10 + LVL vs. AC
2d6+ half LVL damage, and the target is pushed back 2 squares. </t>
    </r>
    <r>
      <rPr>
        <b/>
        <sz val="11"/>
        <color theme="1"/>
        <rFont val="Calibri"/>
        <family val="2"/>
        <scheme val="minor"/>
      </rPr>
      <t>+1 dice everv 5 levels (i.e. levels 5,10,15..)</t>
    </r>
    <r>
      <rPr>
        <sz val="11"/>
        <color theme="1"/>
        <rFont val="Calibri"/>
        <family val="2"/>
        <scheme val="minor"/>
      </rPr>
      <t xml:space="preserve">
</t>
    </r>
  </si>
  <si>
    <t>Ranged: Jell-O Chain Recharge 5+
Range: 8 choose a up to 3 more targets within 8 of each other 
4+LVL vs AC
Damage: 1D4 + LVL damage.    +1 dice everv 5 levels (i.e. levels 5,10,15..)</t>
  </si>
  <si>
    <t>Close: Growl Recharge 5+                                                                                                                                                  Close Blast 4                                                                                                                                                                    Target all enemies in blast                                                                                                                       Hit: -1 + 1/2 LVL penalty to attack (save ends).</t>
  </si>
  <si>
    <t>Special: shadow chains of vengeance
Reaction: when weakened you may make two shadow chain whip attacks.</t>
  </si>
  <si>
    <t xml:space="preserve">Ranged: Flame Thrower Recharge 4+
Close cone 3                                                                                                                                                                                                                                                                                                                                                                                                                              5 + LVL vs. AC 
Damage 1d10 + LVL and an on going 5 fire damage(save ends) +1 dice everv 5 levels (i.e. levels 5,10,15..)
</t>
  </si>
  <si>
    <t>Ranged: Ember Recharge 5+
Close cone 4                                                                                                                                                                                                                                                                                                                                                                                                                                          2+ LVL vs. AC 
Damage 1d6+LVL and an ongoing 5 fire damage ( save ends) +1 dice everv 5 levels (i.e. levels 5,10,15..)</t>
  </si>
  <si>
    <t>Ranged: flame thrower Recharge 4+
Close cone 3                                                                                                                                                                                                                                                                                                                                                                                                                             3+LVL vs. AC 
Damage 1d6+LVL and an on going 3 fire damage (save ends)</t>
  </si>
  <si>
    <t>Resist half damage from melee and ranged attacks; Vulnerable 5 against close and area attacks</t>
  </si>
  <si>
    <t xml:space="preserve">Deadly Rage
You gain a +1 bonus to your attack power and + 4 damage while weakened. The bonus increases to +2 attack power and + 10 damage at 5th level.
</t>
  </si>
  <si>
    <t xml:space="preserve">Basic Melee: Hammer
Reach 1                                                                                                                                                                                                                                                                                                                                                                                                                                                         1d4+ LVL vs. AC 
Damage 1d6 + LVL and the target takes a random status effect (save ends) .         1d6.  1. blind   2. Slow.   3. Feable.    4. Fear.    5.Dazed.    6. stund             +1 dice everv 5 levels (i.e. levels 5,10,15..)                                                                                                                </t>
  </si>
  <si>
    <t>Ranged: Shadow Spear 
Range: 5 
2+LVL vs. AC 
Monster LVL x 1d4 Damage and the dark shadow heals HP equal to half the damage done.  Pirecing damage = to monster LVL.</t>
  </si>
  <si>
    <t xml:space="preserve">Special:One with the Shadows
the Devourer becomes insubstantial and gains flight 8 until the end of his next turn. </t>
  </si>
  <si>
    <t xml:space="preserve">Shadows (Fear) close blast 4;
enemies in the aura take a –2 penalty to attack rolls.
</t>
  </si>
  <si>
    <t>Immunity: Fear
Immunity: Domination
Immunity: Sleep
You gain Immunity to this conditions</t>
  </si>
  <si>
    <t xml:space="preserve">Ranged: Fierball
Recharge 5+
Range 15  Blast: 2
+3+LVL vs AC
1d4 + LVL fire damage +1 dice everv 5 levels (i.e. levels 5,10,15..)
Miss: half damage
</t>
  </si>
  <si>
    <t xml:space="preserve">Melee: Bite Poison (Spider)
+4+LVL vs. AC
2d6 + LVL damage, and the target takes ongoing 1 + LVL poison damage and is slowed (save ends both). +1 dice everv 5 levels (i.e. levels 5,10,15..)
</t>
  </si>
  <si>
    <r>
      <t xml:space="preserve">Tricky: </t>
    </r>
    <r>
      <rPr>
        <sz val="8"/>
        <color rgb="FF000000"/>
        <rFont val="Calibri"/>
        <family val="2"/>
        <scheme val="minor"/>
      </rPr>
      <t xml:space="preserve">when ever you move, the goblin trap master may set down a random trap. If a pc moves over a trap an any way the trap is sprong. The Pc may atempet to find the traps Spot/Traps DC 12+MLVL. </t>
    </r>
  </si>
  <si>
    <t xml:space="preserve">Melee: Tail Strike
immediate reaction Trigger: when an enemy moves to a position where it flanks the dragon
Effect: The dragon attacks the enemy with its tail:                                                             reach 3
12 + LVL vs. AC
2d6+ half LVL damage, and the target is pushed back 2 squares. +1 dice everv 5 levels (i.e. levels 5,10,15..)
</t>
  </si>
  <si>
    <t>An adjacent character can delay one hellfire for one round with a DC 21 Traps check.
An adjacent character can disable one hellfire spout with a DC 24 Traps check.
A character can attack a spout with cold or water damage. Destroying the
spout disables the trap.</t>
  </si>
  <si>
    <t xml:space="preserve">Melee: Tail Strike
immediate reaction Trigger: when an enemy moves to a position where it flanks the dragon
Effect: The dragon attacks the enemy with its tail:                                                             reach 3
4 + LVL vs. AC
2d6+ half LVL damage, and the target is pushed back 2 squares. 
</t>
  </si>
  <si>
    <t xml:space="preserve">Close: Flood recharge 4+
Close blast 3 or 4 If you used flush last turn 
+3 + LVL vs. AC
1d6 damage and the targets are pushed back 2 squares.  +1 dice everv 5 levels (i.e. levels 5,10,15..)
</t>
  </si>
  <si>
    <t>Range attack: Laser Eyes                                                                                                          Range: 10                                                                                                                                                    + 2 + LVL vs AC                                                                                                                                          2D6 + Half LVL damage +1 dice everv 5 levels (i.e. levels 5,10,15..)</t>
  </si>
  <si>
    <t xml:space="preserve">Melee: Tail Strike
immediate reaction Trigger: when an enemy moves to a position where it flanks the dragon
Effect: The dragon attacks the enemy with its tail:                                                             reach 3
2 + LVL vs. AC
2d6+ half LVL damage, and the target is pushed back 2 squares. +1 dice everv 5 levels (i.e. levels 5,10,15..)
</t>
  </si>
  <si>
    <t xml:space="preserve">Power: Flowing Mass
Immediate interrupt 
Trigger: when a PC misses with an melee attack.
Effect: the blow is redirected to a adjacent enemy and is rerolled against that target. 
</t>
  </si>
  <si>
    <t xml:space="preserve">Close: Ink
Close cone 3                                                                                                                                          Interupt. Trigger: when the Octopus is weakend.
+ 3 + LVL vs. AC
1d4 + LVL damage and the targets are pushed back 2 squares and blinded. +1 dice everv 5 levels (i.e. levels 5,10,15..)
</t>
  </si>
  <si>
    <t xml:space="preserve">Melee: Tail Strike
immediate reaction Trigger: when an enemy moves to a position where it flanks the dragon
Effect: The dragon attacks the enemy with its tail:                                                             reach 3
8 + LVL vs. AC
2d6+ half LVL damage, and the target is pushed back 2 squares. +1 dice everv 5 levels (i.e. levels 5,10,15..)
</t>
  </si>
  <si>
    <t xml:space="preserve">Melee attack Warrior’s Surge
Special: may only use while weakened. 
 The orc berserker makes a melee basic attack and regains 5+ LVL hit points.
</t>
  </si>
  <si>
    <t xml:space="preserve">Melee attack Warrior’s Surge
Special: may only use while weakened. 
The orc berserker makes a melee basic attack and regains half LVL hit points.
</t>
  </si>
  <si>
    <t xml:space="preserve">Melee bite Ankles
3+ lvl vs AC
1d4 + lvl damage and immobile (save ends) 
</t>
  </si>
  <si>
    <t xml:space="preserve">Melee attack: Commanders strike
A minion may make a free basic with a +2 + LVL bonus attack power and damage. 
</t>
  </si>
  <si>
    <t xml:space="preserve">Force enhancement recharge 4+.                                                                 Target: self or one adjacent ally.                                                                   Effect: target gains 1d10 damage bonus to all their attacks. </t>
  </si>
  <si>
    <t>Force persuasion Recharge 6+
Range 4,                                                                                                                                                            2 + LVL vs. Will
5 Damage and the target is dominated (save ends)</t>
  </si>
  <si>
    <t xml:space="preserve">Force shield recharge 5+.                                                                             Effect: do you gain a bonus to all your defenses equal to half your level minimum of 1 until the end of your next turn. </t>
  </si>
  <si>
    <t>Shadows (Fear) aura 2; 
enemies in the aura take a –2 penalty to attack rolls.</t>
  </si>
  <si>
    <t xml:space="preserve">Ranged: Skull of Fire, (Head 3)
Ranged 10;                                                                                                                                                    +4 vs. ACitude
2d6 + LVL fire damage.  +1 dice everv 5 levels (i.e. levels 5,10,15..)
</t>
  </si>
  <si>
    <t xml:space="preserve">Slime: Special 
when ever the giant slug moves it leaves a trail of poisons slim behind it any PC moving into a area the slug has moved through takes an on going 2 poision damage(save ends)
</t>
  </si>
  <si>
    <t xml:space="preserve">Ranged: Poison Spit                                                                                                                          Range: 6
+2 + LVL vs. AC 
Damage: 1D6 +LVL poison damage and an ongoing half LVL poison damage. </t>
  </si>
  <si>
    <t xml:space="preserve">Ranged: Rain of Spines 
Range: 10 
2+LVL vs. AC, 
1d4 + LVL dark damage and the targets take an ongoing 2 poison damage (save ends). </t>
  </si>
  <si>
    <t xml:space="preserve">Squirt – Water 
Range 12;                                                                                                                                                      +12 vs. AC 
Damage:1d6 + LVL water damage. +1 dice everv 5 levels (i.e. levels 5,10,15..)
</t>
  </si>
  <si>
    <t>Range: Throw Fruit                                                 Range: 10                                                Target: one Enemy                                    Damage: 1d4+LVL. +1 dice everv 5 levels (i.e. levels 5,10,15..)</t>
  </si>
  <si>
    <t xml:space="preserve">Red eyes
When the doll is weakened it gains + 2 attack and + 5 damage.
</t>
  </si>
  <si>
    <t xml:space="preserve">An adjacent character can disable one trap door with a DC 15+ half LVL Traps check.
</t>
  </si>
  <si>
    <t xml:space="preserve">Roar
Close cone 3
4 + LVL vs. Will
Monsters level damage and the targets are feared. </t>
  </si>
  <si>
    <t xml:space="preserve">Melee: Tail Strike
immediate reaction Trigger: when an enemy moves to a position where it flanks the dragon
Effect: The dragon attacks the enemy with its tail:                                                             reach 3
9 + LVL vs. AC
2d6+ half LVL damage, and the target is pushed back 2 squares. +1 dice everv 5 levels (i.e. levels 5,10,15..)
</t>
  </si>
  <si>
    <t xml:space="preserve">Water Gun – Water;  Recharge: 4+
Range 12                                                                                                                                                        +2 + LVL vs. AC 
Damage:1D6 + LVL water damage and the target is stunned. +1 dice everv 5 levels (i.e. levels 5,10,15..)
</t>
  </si>
  <si>
    <t>Frightful Growl (Fear) aura 3;                                                                                                       enemies in the aura take a –1 penalty to attack rolls, and allies within the aura gain a +1 power bonus to attack rolls.</t>
  </si>
  <si>
    <t xml:space="preserve">Melee: Tail Strike
immediate reaction Trigger: when an enemy moves to a position where it flanks the dragon
Effect: The dragon attacks the enemy with its tail:                                                             reach 3
11 + LVL vs. AC
2d6+ half LVL damage, and the target is pushed back 2 squares. +1 dice everv 5 levels (i.e. levels 5,10,15..)
</t>
  </si>
  <si>
    <t xml:space="preserve">Melee: Tail Strike
immediate reaction Trigger: when an enemy moves to a position where it flanks the dragon
Effect: The dragon attacks the enemy with its tail:                                                             reach 3
1 + LVL vs. AC
2d6+ half LVL damage, and the target is pushed back 2 squares. +1 dice everv 5 levels (i.e. levels 5,10,15..)
</t>
  </si>
  <si>
    <t xml:space="preserve">Melee: Tail Strike
immediate reaction Trigger: when an enemy moves to a position where it flanks the dragon
Effect: The dragon attacks the enemy with its tail:                                                             reach 3
5 + LVL vs. AC
2d6+ half LVL damage, and the target is pushed back 2 squares. +1 dice everv 5 levels (i.e. levels 5,10,15..)
</t>
  </si>
  <si>
    <t xml:space="preserve">Melee: Tail Strike
immediate reaction Trigger: when an enemy moves to a position where it flanks the dragon
Effect: The dragon attacks the enemy with its tail:                                                             reach 3
3 + LVL vs. AC
2d6+ half LVL damage, and the target is pushed back 2 squares. +1 dice everv 5 levels (i.e. levels 5,10,15..)
</t>
  </si>
  <si>
    <t xml:space="preserve">Melee attack: bite
Recharge 6+
Attack: +2 + LVL vs AC
Damage: 1d4 + lvl damage and the target is  Infection. +1 dice everv 5 levels (i.e. levels 5,10,15..)
Nanobot infection; target takes an ongoing half LVL damage (save ends). If the target fails the first save the target becomes slowed, if the target fails a third time or the target becomes weakened, then the target is dominated (Save ends both).
</t>
  </si>
  <si>
    <t xml:space="preserve">Melee attack: bite
Recharge 6+
Attack: +2 + LVL vs AC
Damage: 5 damage and the target is  Infection.
Nanobot infection; target takes an ongoing damage equal to the monsters lvl (save ends). If the target fails the first save the target becomes slowed II, if the target fails a third time or the target becomes weakened, then the target is dominated (Save ends both).
</t>
  </si>
  <si>
    <t>Close: Breath Weapon recharge 5+
Close Cone 4
6+LVL vs. AC; 
1d4 + LVL damage. +1 dice everv 5 levels (i.e. levels 5,10,15..)                                                                                                                                          Miss: Half damage.</t>
  </si>
  <si>
    <t>Close: Breath Weapon recharge 5+
Close Cone 4
10 + LVL vs. AC; 
1d4 x LVL damage.    +1 dice everv 5 levels (i.e. levels 5,10,15..)                                                                                                                                      Miss: Half damage.</t>
  </si>
  <si>
    <t>Split: when the Jell-O is weakend it will split in 2 different Jell-Os with the same stats as the oraginal monster, except for its HP, which will be its weakend HP Split equally between the 2 new monsters.</t>
  </si>
  <si>
    <t xml:space="preserve">Close: Smoke Screen recharge 4+
Free action
Close Wall 4                                                                                                                                                                                                                                                                                                                                                                                                                                                                                                Effect: this power creates a zone of darkness that remains in place for 1+ monster LVL turns. The zone blocks line of sight for all creatures except the dragon. Any creature entirely within the area (except the dragon) is blinded
</t>
  </si>
  <si>
    <t xml:space="preserve">Close: Smoke Screen recharge 4+
Free action
Close Wall 3                                                                                                                                                                                                                                                                                                                                                                                                                                                                                                Effect: this power creates a zone of darkness that remains in place for 1+ monster LVL turns. The zone blocks line of sight for all creatures except the dragon. Any creature entirely within the area (except the dragon) is blinded
</t>
  </si>
  <si>
    <t xml:space="preserve">Powerful Charge
When you charge, you gain a + half LVL  bonus to damage.
</t>
  </si>
  <si>
    <t>Laughing Gas                                                                                 recharge 6                                                                                                        Close: blast 3                                                                                                                    attack:  1d4+LVL vs Will                                                                                             Hit: All enemys within the blast must discharge 1d4 powers.</t>
  </si>
  <si>
    <t>Power: Darken Recharge 5+
You may place 2 Creepers with in 2 squares of the Dark Shadow, the creepers may not be a higher level then the Dark Shadow.</t>
  </si>
  <si>
    <t xml:space="preserve">Close: Exploded
Close Blast 2
+5+LVL vs. AC
Damage: 2d6 +LVL and the target is knocked down. The Skeleton is destroyed.  +1 dice everv 5 levels (i.e. levels 5,10,15..)
</t>
  </si>
  <si>
    <t xml:space="preserve">Melee:Death from Above Poison (Spider)
The spider leaps at its prey, moving 6 squares, without provoking opportunity attacks and making a bite attack. On a hit, it deals an extra 1d6 damage and also knocks the target prone.
</t>
  </si>
  <si>
    <t>Shifty 
when ever a enemy misses with a melee attack you may shift one square.</t>
  </si>
  <si>
    <t>Traps 1D4: 
1. Explosive, colse blast 1, 1d4+LVL damage.                                                                                      2. Poison, 1d6 damage and an ongoing 1+half LVL damage (save end).                                 3. Fire blast, close blast 1, all in the blast take an ongoing 1+ half LVL damage last 1+LVL turns.                                                                                                                                               4. Ice Spike, one enemy, 1d6 + LVL damage and the target is immobilized (save ends).</t>
  </si>
  <si>
    <t>Close: Breath Weapon recharge 5+
Close Cone 4
12 + LVL vs. AC; 
1d4 + LVL damage.                                                                                                                                          Miss: Half damage.</t>
  </si>
  <si>
    <t>Close: Breath Weapon recharge 5+
Close Cone 4
4 + LVL vs. AC; 
1d4 + LVL damage.                                                                                                                                          Miss: Half damage.</t>
  </si>
  <si>
    <t>Close: Breath Weapon recharge 5+
Close Cone 4
2 + LVL vs. AC; 
1d4 + LVL damage.                                                                                                                                                                                                                                                                                                                                                                                                              Miss: Half damage.</t>
  </si>
  <si>
    <t>Close: Breath Weapon recharge 5+
Close Cone 4
8 + LVL vs. AC; 
1d4 + LVL damage.                                                                                                                                                                                                                                                                                                                                                                                                             Miss: Half damage.</t>
  </si>
  <si>
    <t xml:space="preserve">Melee attack Death Strike (when reduced to 0 hit points)
The orc makes a melee basic attack aginst every adjacent creature.
</t>
  </si>
  <si>
    <t>Force control pain.                                                            Resist all damage 3+LVL</t>
  </si>
  <si>
    <t>Force control pain.                                                            Resist all damage 4+LVL</t>
  </si>
  <si>
    <t>Force control pain.                                                            Resist all damage 5+LVL</t>
  </si>
  <si>
    <t>Force control pain.                                                            Resist all damage 2+LVL</t>
  </si>
  <si>
    <t xml:space="preserve">Master of the Grave (Healing) aura 2; all allies in the aura gain regeneration 5 and a +2 bonus to saving throws. This aura ends when the skull lord is dead.
</t>
  </si>
  <si>
    <t xml:space="preserve">Close: Laughing
Aura 2
Effect: Any enemy starting its turn within the aura is helppless.
</t>
  </si>
  <si>
    <t>Dungeneering, spot or traps check DC 12+ Half LVL</t>
  </si>
  <si>
    <t xml:space="preserve">Close Stomp Recharge 3+
Close Blast 2
3+ LVL vs. AC
1d8 + lvl damage, and the targets a knocked down and stunned
</t>
  </si>
  <si>
    <t>Close: Breath Weapon recharge 5+
Close Cone 4
9 + LVL vs. AC; 
1d4 + LVL damage.                                                                                                                                          Miss: Half damage.</t>
  </si>
  <si>
    <t>Close: Breath Weapon recharge 5+
Close Cone 4
2 + LVL vs. AC; 
1d4 + LVL damage.                                                                                                                                          Miss: Half damage.</t>
  </si>
  <si>
    <t xml:space="preserve">Bubble: water
Rang 6
+2 + LVL vs. AC
Damage 1d6 + LVL and the target is Paralyzed. 
</t>
  </si>
  <si>
    <t>Close: Breath Weapon recharge 5+
Close Cone 4
11 + LVL vs. AC; 
1d4 + LVL damage.                                                                                                                                          Miss: Half damage.</t>
  </si>
  <si>
    <t>Close: Breath Weapon recharge 5+
Close Cone 4
1 + LVL vs. AC; 
1d4 + LVL damage.                                                                                                                                          Miss: Half damage.</t>
  </si>
  <si>
    <t>Close: Breath Weapon recharge 5+
Close Cone 4
5 + LVL vs. AC; 
1d4 + LVL damage.                                                                                                                                          Miss: Half damage.</t>
  </si>
  <si>
    <t>Close: Breath Weapon recharge 5+
Close Cone 4
3 + LVL vs. AC; 
1d4 + LVL damage.                                                                                                                                          Miss: Half damage.</t>
  </si>
  <si>
    <t>Close: Frightful Presence Recharge 5+
Close cone 5                                                                                                                                                                                               targets enemies
6 + LVL vs. Will; 
The target is feared and stunned until the end of the dragon’s next turn. 
After effect: The target takes a –2 penalty to attack rolls (save ends).</t>
  </si>
  <si>
    <t>Close: Frightful Presence Recharge 5+
Close cone 5                                                                                                                                                                                               targets enemies
10 + LVL vs. Will; 
The target is feared and stunned until the end of the dragon’s next turn. 
After effect: The target takes a –2 penalty to attack rolls untill the end of the battle.</t>
  </si>
  <si>
    <t xml:space="preserve">Special: this monster may make two attacks on the same or different target. You may not take the double attack feat. </t>
  </si>
  <si>
    <t>Happy Face: Aura 1 all enemys within 1 square of Happy feel creeped out by his happyness, -2 to their attack power.</t>
  </si>
  <si>
    <t xml:space="preserve">Prodigious Leap (Recharge 5+) (Spider)
The spider moves up to 10 squares. </t>
  </si>
  <si>
    <t>Sneaky: +1 + half LVL bonus to your sneak check.</t>
  </si>
  <si>
    <t>Close: Frightful Presence Recharge 5+
Close cone 5                                                                                                                                                                                               targets enemies
12 + LVL vs. Will; 
The target is feared and stunned until the end of the dragon’s next turn. 
After effect: The target takes a –2 penalty to attack rolls (save ends).</t>
  </si>
  <si>
    <t>Close: Frightful Presence Recharge 5+
Close cone 5                                                                                                                                                                                               targets enemies
4 + LVL vs. Will; 
The target is feared and stunned until the end of the dragon’s next turn. 
After effect: The target takes a –2 penalty to attack rolls (save ends).</t>
  </si>
  <si>
    <t>Close: Frightful Presence Recharge 5+
Close cone 5                                                                                                                                                                                               targets enemies
2 + LVL vs. Will; 
The target is feared and stunned until the end of the dragon’s next turn. 
After effect: The target takes a –2 penalty to attack rolls (save ends).</t>
  </si>
  <si>
    <t>Close: Frightful Presence Recharge 5+
Close cone 5                                                                                                                                                                                               targets enemies
8 + LVL vs. Will; 
The target is feared and stunned until the end of the dragon’s next turn. 
After effect: The target takes a –2 penalty to attack rolls (save ends).</t>
  </si>
  <si>
    <t xml:space="preserve">Ranged attack Eye of Wrath                                                                                                           Rechare 5+
Ranged 5
+2 + LVL vs. Will;                                                                                                                                 The target is feared and takes a –4 penalty to AC (save ends both).
</t>
  </si>
  <si>
    <t>Force Of Ark Shadows Recharge 5+
You may place 1 dark shadow or 2 shadows or 2 spined shadows, with in 2 squares of the Sith, the summoned monsters may not be a higher level then the Sith.</t>
  </si>
  <si>
    <t>Force lighting recharge 5+.                                                                      Close cone =1/2 LVL, min of 2                                                            target: all in the cone.                                                                         Attack: 5+LVL vs. AC.                                                      Damage: 2d6 +lvl</t>
  </si>
  <si>
    <t>Ranged: Skull of Death’s Command (Simple) 
Ranged 10; the skull lord restores a destroyed minion within range. The restored minion’s level must be no higher than the skull lord’s level + 2. The restored minion stands in the space where it fell (or in any adjacent space, if that space is occupied) as a free action, has full normal hit points, and can take actions (as normal) on its next turn.</t>
  </si>
  <si>
    <t>Close: Frightful Presence Recharge 5+
Close cone 5                                                                                                                                                                                               targets enemies
9 + LVL vs. Will; 
The target is feared and stunned until the end of the dragon’s next turn. 
After effect: The target takes a –2 penalty to attack rolls (save ends).</t>
  </si>
  <si>
    <t xml:space="preserve">Tail Whip
Close blast 1
+2 + LVL vs. AC
Damage: 5 + LVL and all targets hit a immobilize (save ends).
</t>
  </si>
  <si>
    <t>Close: Frightful Presence Recharge 5+
Close cone 5                                                                                                                                                                                               targets enemies
11 + LVL vs. Will; 
The target is feared and stunned until the end of the dragon’s next turn. 
After effect: The target takes a –2 penalty to attack rolls (save ends).</t>
  </si>
  <si>
    <t>Close: Frightful Presence Recharge 5+
Close cone 5                                                                                                                                                                                               targets enemies
1 + LVL vs. Will; 
The target is feared and stunned until the end of the dragon’s next turn. 
After effect: The target takes a –2 penalty to attack rolls (save ends).</t>
  </si>
  <si>
    <t>Close: Frightful Presence Recharge 5+
Close cone 5                                                                                                                                                                                               targets enemies
5 + LVL vs. Will; 
The target is feared and stunned until the end of the dragon’s next turn. 
After effect: The target takes a –2 penalty to attack rolls (save ends).</t>
  </si>
  <si>
    <t>Close: Frightful Presence Recharge 5+
Close cone 5                                                                                                                                                                                               targets enemies
3 + LVL vs. Will; 
The target is feared and stunned until the end of the dragon’s next turn. 
After effect: The target takes a –2 penalty to attack rolls (save ends).</t>
  </si>
  <si>
    <t>Forget                                                                                 recharge 6                                                                                                        Close: blast 3                                                                                                                     4+LVL vs Will                                                                                             Hit: All enemys within the blast take a -10+ Monster level to recharge thier powers.</t>
  </si>
  <si>
    <t xml:space="preserve">Ranged Swift Arm of Destruction (Free action)
Recharge 5+                                                  
Ranged: sight
one orc within range makes a melee basic attack (as a free action) and regains 10 + half LVL hit points on a hit or 5 hit points on a miss. 
</t>
  </si>
  <si>
    <t xml:space="preserve">Force control pain.                                                            Resist all damage 2+LVL </t>
  </si>
  <si>
    <t xml:space="preserve">Force choke.                                              Range:4.                                   Target:one.                                        attack: 4+LVL VS. AC.                               Damage:1d4+LVL </t>
  </si>
  <si>
    <t xml:space="preserve">Force choke.                                                                                       Range:4.                                                                                       Target:one.                                                                                          attack:5+LVL VS. AC.                                                                      Damage:1d4+LVL </t>
  </si>
  <si>
    <t>Triple Skulls 
When a skull lord is reduced to 0 hit points, one of its skulls (determined randomly from the three ) is destroyed, and it loses the ability to use that power. If the creature has any skulls remaining, it instantly heals to full hit points.</t>
  </si>
  <si>
    <t>Special: If the rain of spines attack hit you may make a second rain of spines attack.</t>
  </si>
  <si>
    <t>Scary Aura                                                                                                                           Aura 3                                                                                                                         Effect: an enemy that starts its turn within the arua counts as being Slowed.</t>
  </si>
  <si>
    <t>Special: Powerful Jaws: after a successful Bite attack you can immediately make a second Bite attack on the same target.</t>
  </si>
  <si>
    <t xml:space="preserve">Damage Aura The dragon radiates an aura of pain and destruction. All creatures within 2 squares of the dragon take damage equal to half the dragons level. Dragons have all the RPG Gamer powers, the power Level is equal to half the monsters level.  </t>
  </si>
  <si>
    <t>Swarm: Whenever an enemy starts its turn adjacent to a swarm the swam may make a free basic attack.  Blind Fighting:You ignore the penalties for being blinded.</t>
  </si>
  <si>
    <t>Special: Shadow Dance when a enemy misses you with a melee attack you may shift 1 square.</t>
  </si>
  <si>
    <t>Dragon Rage – Utility 
Trigger: when Charizard is weakened
Charizard gains + Equal to its LVL attack power bonus and a damage bonus.</t>
  </si>
  <si>
    <t xml:space="preserve">Chaos: when you hit an enemy with an attack, roll to see what type of chaos is inflicted upon the enemy.  1d6: 1. The target trades character sheet with the closest ally. 2. The target is knocked down in dazed. 3. All adjacent enemies take your level damage. 4.all allies within three squares game +2 attack power. 5. The target is stuned save ends. 6. you may shift the target upto 3 squares, knocked down (save ends). </t>
  </si>
  <si>
    <t>Mount
while mounted by a friendly rider of 5th level or higher.                                                      
The dire wolf’s rider gains +2 attack bonus against an enemy.</t>
  </si>
  <si>
    <t>Special: Mimicry A doppelganger is proficient in all weapons, armor, and shields. In addition, a doppelganger can use any powers of the character they copy, or any powers used on them last.</t>
  </si>
  <si>
    <t xml:space="preserve">Reanimation: Trigger: After a zombie reaches 0HP. Effect: when it comes to the zombies turn in the initiative the zombie will come back to life in the square it was killed in, with half its HP or 1 if it’s a minion
</t>
  </si>
  <si>
    <t xml:space="preserve">Special: Explosive  Close Blast 1
Trigger: the flaming skeleton is reduced to 0 Hp
Attack: +5+LVL vs. AC 1d6 + LVL fire damage
</t>
  </si>
  <si>
    <t xml:space="preserve">Soft Fall
The spider ignores the first 30 feet when determining damage from a fall. 
</t>
  </si>
  <si>
    <t>Backstabber
Gain an extra 2d4 damage when your target is facing away from you</t>
  </si>
  <si>
    <t xml:space="preserve">Dungeneering, spot or traps check DC 11+MLVL
</t>
  </si>
  <si>
    <t xml:space="preserve">Melee: Reactive Sting (immediate reaction, when an enemy grabbed by the scorpion)
The hells scorpion makes a sting attack against the enemy.
</t>
  </si>
  <si>
    <t xml:space="preserve">Damage Aura The dragon radiates an aura of pain and destruction. All creatures within 2 squares of the dragon take damage equal to half the dragons level.--------------------------------------------------------- Dragons have all the RPG Gamer powers, the power Level is equal to half the monsters level.  </t>
  </si>
  <si>
    <t xml:space="preserve">Swarm: When ever a enemy starts its turn adjacent to a swarm the swam may make a free basic attack.
</t>
  </si>
  <si>
    <t xml:space="preserve">Powerful Charge
When you charge, you gain a +2 bonus to damage.
</t>
  </si>
  <si>
    <t xml:space="preserve">Special: Call to arms        Recharge 5+   The overlord restores destroyed minions within a close blast 5. The restored minion’s level must be no higher than the overlord’s level + 2. The restored minion stands in the space where it fell (or in any adjacent space, if that space is occupied) as a free action, has full normal hit points, and can take actions (as normal) on its next turn.
</t>
  </si>
  <si>
    <t>Striffing attack: The monster may fly up to 8 squares and makes one melee basic attack at any point during that movement. The bat doesn’t provoke opportunity attacks when moving away from the target of the attack.</t>
  </si>
  <si>
    <t xml:space="preserve">An adjacent character can delay one poison dart trap for one round with a DC 8 + MLVL Traps check.
An adjacent character can disable one poison dart trap with a DC 12+ MLVL Traps check.
</t>
  </si>
  <si>
    <t>Three Headed Monster: you may roll 3D20 and choose the highest. You may not take the double attack feat.                                                                               Call for help (recharge 4+)
summon 2 rats of the same lvl as the rat kig or lower within 2 squares.</t>
  </si>
  <si>
    <t>Swarm Attack aura 1: the rat swarm makes a basic attack as a free action against each enemy that begins its turn in the aura.</t>
  </si>
  <si>
    <t>Special: Sticky 
Trigger when ever jell-o is hit with a melee attack.
Effect: weapon is stuck to Jell-o</t>
  </si>
  <si>
    <t xml:space="preserve">Melee: Reactive Sting (immediate reaction, when an enemy grabbed by the scorpion escapes; at-will) The scorpion
</t>
  </si>
  <si>
    <t>Force Far seeing.                                                             you may re-roll  any one missed attack roll once or you may give us power to an adjacent ally.</t>
  </si>
  <si>
    <t>Sith has access to all jedi powers, power level is equal to half the monster level.</t>
  </si>
  <si>
    <t>Force dark aura.      Aura1     All enemies that start their turn within the dark aura must make a will save DC15+ monster lvl, if the check fails the target counts as being feeble.  ------------------------------------------Sith has access to all jedi powers, power level is equal to half the monster level.</t>
  </si>
  <si>
    <t>Force dark aura/  Aura 2        All enemies that start their turn within the dark aura must make a will save DC15+ monster lvl, if the check fails the target counts as being feeble.  ------------------------------------------Sith has access to all jedi powers, power level is equal to half the monster level.</t>
  </si>
  <si>
    <t>Force dark aura.     Aura 2     All enemies that start their turn within the dark aura must make a will save DC15+ monster lvl, if the check fails the target counts as being feeble.  ------------------------------------------Sith has access to all jedi powers, power level is equal to half the monster level.</t>
  </si>
  <si>
    <t xml:space="preserve">Force Far seeing.                                                             you may do you want any one missed attack roll once or you may give us power to an adjacent ally.  </t>
  </si>
  <si>
    <t xml:space="preserve">Sith rage.         Trigger; when the Sith is weakend.         Effect: you gain +2 attack power bonus +2 damage bonus +2 Will power bonus but a -2 to your AC until the end of the Battle.  </t>
  </si>
  <si>
    <t>Three Headed Monster: you may roll 3D20 and choose the highest. You may not take the double attack feat.</t>
  </si>
  <si>
    <t>Aura: Intagled         Effect: an enemy that starts its turn within the aura he counts as being immoblized (save ends).</t>
  </si>
  <si>
    <t xml:space="preserve">Special: Charging
When the T-rex charges it gains a attack and damage bonus equal to its level. 
</t>
  </si>
  <si>
    <t>Pack hunters: whenever there is one or more raptors within 6 squares monster gains a +1 attack power for each.</t>
  </si>
  <si>
    <t>If a wolf flanks the target, the target is also knocked down on a hit.</t>
  </si>
  <si>
    <t xml:space="preserve">Damage Aura                                                                                                                                        The dragon radiates an aura of pain and destruction. All creatures within 2 squares of the dragon take damage equal to half the dragons level.                                                                         Dragons have all the RPG Gamer powers, the power Level is equal to half the monsters level.  </t>
  </si>
  <si>
    <t xml:space="preserve">Reanimation: Trigger: After a zombie reaches 0HP. Effect: when it comes to the zombies turn in the initiative the zombie will come back to life in the square it was killed in, with half its HP or 1 if it’s a minion.
</t>
  </si>
  <si>
    <t xml:space="preserve">Immunity: domination                                                                                                                    Immunity: Sleep                                                                                                                                           Immunity: Stun                                                                                                                                   Immunity: Fear                                                                                                                           </t>
  </si>
  <si>
    <t xml:space="preserve">Immunity: domination                                                                                                                    Immunity: Sleep                                                                                                                                           Immunity: Stun                                                                                                                                   Immunity: Fear                                                                                                                            Immunity: Unconscious                                                                                                                                                                          </t>
  </si>
  <si>
    <t>Blind Fighting
You ignore the penalties for being blinded.</t>
  </si>
  <si>
    <t>5 Bats</t>
  </si>
  <si>
    <t xml:space="preserve">Immunity: Blind, Dazed, Deafened, Domination, Knock down, Feeble, Fear,  Sleep, Exhaustion, Slow, Stun    </t>
  </si>
  <si>
    <t>5 clowns</t>
  </si>
  <si>
    <t xml:space="preserve">Immunity: Fear, Domination, Sleep.                                                                                                      You take half damage from attacks that are not blunt or force damage.
</t>
  </si>
  <si>
    <t xml:space="preserve">Immunity: Fear, </t>
  </si>
  <si>
    <t xml:space="preserve">Immunity: Fear,
</t>
  </si>
  <si>
    <t>Immunity: Blind, Sleep, Stun, poison. Resist Fire 10.</t>
  </si>
  <si>
    <t xml:space="preserve">Immunity: domination                                                                                                                    Immunity: Sleep                                                                                                                                           Immunity: Stun         </t>
  </si>
  <si>
    <t xml:space="preserve">Immunity: domination                                                                                                                                                                                                                                                            Immunity: Stun                                                                                                                                </t>
  </si>
  <si>
    <t>Immunity: knock down, Forced Movement</t>
  </si>
  <si>
    <t xml:space="preserve">Immunity: domination                                                                                                                    Immunity: Sleep                                                                                                                                           Immunity: Stun                                                                                                                                   Immunity: Fear                                                                                                                           Immunity: Knock down                                                                                                             </t>
  </si>
  <si>
    <t xml:space="preserve">5 ornthiomimus </t>
  </si>
  <si>
    <t xml:space="preserve">Immunity: Fear
Immunity: Feeble
Immunity: Domination
Immunity: Sleep
You gain Immunity to this conditions
</t>
  </si>
  <si>
    <t>resist half damage from melee and ranged attacks; Vulnerable 5 against close and area attacks</t>
  </si>
  <si>
    <t xml:space="preserve">Force speed. Recharge 4+        Simple action,      Double your movement      </t>
  </si>
  <si>
    <t>Immunity: Fear, Domination, Sleep.                                                                                                      You take half damage from attacks that are not blunt or force damage.</t>
  </si>
  <si>
    <t xml:space="preserve">Immunity: sleep
You gain Immunity to this condition
</t>
  </si>
  <si>
    <t>5 snakes</t>
  </si>
  <si>
    <t xml:space="preserve">Resist half damage from melee and ranged attacks;                                            Vulnerable 10 against close and area attacks
</t>
  </si>
  <si>
    <t>Aura: Branch Whip                                                                                            Aura 1                                                                                                                      Trigger: an enemy starts its turn within the aura.                                                                                                Effect: you may make a Free Whip Attack.</t>
  </si>
  <si>
    <t xml:space="preserve">Immunity: domination                                                                                                                                                                                                                                                      Immunity: Stun                                                                                                                                   </t>
  </si>
  <si>
    <t xml:space="preserve">Immunity: domination                                                                                                                    Immunity: Sleep                                                                                                                                           Immunity: Stun                                                                                                                                   Immunity: Fear                                                                                                                           Immunity: Knock down                                                                                                             Immunity: Dazed                                                                                                                           </t>
  </si>
  <si>
    <t xml:space="preserve">Immunity: domination                                                                                                                                                                </t>
  </si>
  <si>
    <t>Multi-Jell-o 
Trigger when Jell-O reaches 0 HP
Effect: Jell-O brakes a part into 4 mini Jell-Os. each Jell-O counts as a minion. All other stats stay the same.</t>
  </si>
  <si>
    <t xml:space="preserve">Immunity: domination                                                                                                                    Immunity: Sleep                                                                                                                                           Immunity: Stun                                                                                                                                   </t>
  </si>
  <si>
    <t xml:space="preserve">Move: 8 Fly: 11      </t>
  </si>
  <si>
    <t xml:space="preserve">Move: 8 Fly: 11                                                                                 </t>
  </si>
  <si>
    <t>Fly 6</t>
  </si>
  <si>
    <t>Move: 6</t>
  </si>
  <si>
    <t>Move: 5</t>
  </si>
  <si>
    <t>Move: 6 Fly 10</t>
  </si>
  <si>
    <t>Move 7</t>
  </si>
  <si>
    <t>Move 6</t>
  </si>
  <si>
    <t>Move: 5  Climb: 4</t>
  </si>
  <si>
    <t>Move: 6  Charge: 8</t>
  </si>
  <si>
    <t>Move 6      Invisable DC 13+lvl</t>
  </si>
  <si>
    <t>Move: 4</t>
  </si>
  <si>
    <t>Move 6   Invisable DC 13+lvl</t>
  </si>
  <si>
    <t>Move: 6 Climb: 4</t>
  </si>
  <si>
    <t>Move: 8</t>
  </si>
  <si>
    <t>move: 4 Fly: 6</t>
  </si>
  <si>
    <t>Move 6    Invisable DC 15+lvl</t>
  </si>
  <si>
    <t>Move: 7</t>
  </si>
  <si>
    <t>Move:6</t>
  </si>
  <si>
    <t xml:space="preserve">Move: 8 Fly: 11                                                                                                                     </t>
  </si>
  <si>
    <t>Can Not Move</t>
  </si>
  <si>
    <t xml:space="preserve">Move: 8 Fly: 11                                                                                                         </t>
  </si>
  <si>
    <t>Move: 0 Teleport: 5</t>
  </si>
  <si>
    <t>Move: 6     Stealth +5+Half LVL</t>
  </si>
  <si>
    <t>Move:4 Fly: 5 swim: 8</t>
  </si>
  <si>
    <t>Move: 6     Charge: 8</t>
  </si>
  <si>
    <t>Move:2  Fly: 8</t>
  </si>
  <si>
    <t>Can not Move</t>
  </si>
  <si>
    <t>Move: 6  Climb: 4</t>
  </si>
  <si>
    <t>Move: 7 Climb: 6</t>
  </si>
  <si>
    <t>Move: 5  Climb: 3 5 rats</t>
  </si>
  <si>
    <t xml:space="preserve">  Move 6</t>
  </si>
  <si>
    <t>Move 6                                 Invisable DC 15+lvl</t>
  </si>
  <si>
    <t>Move: 6. 5 spiders</t>
  </si>
  <si>
    <t>Move 6      Invisable DC 15+lvl</t>
  </si>
  <si>
    <t>Move 5 Swim: 7          Weak vs lighting</t>
  </si>
  <si>
    <t>Move: 1            Weak vs. fire</t>
  </si>
  <si>
    <t>Move 5</t>
  </si>
  <si>
    <t>Cant Move</t>
  </si>
  <si>
    <t>Move: 6 or 10 when charging.   Takes both a move and attack action to stand when knocked down.</t>
  </si>
  <si>
    <t>Move 8 or 10 when charging.</t>
  </si>
  <si>
    <t>Move: 6   Swim: 8    Resist Half LVL fire   Weak vs. Lightning</t>
  </si>
  <si>
    <t>Move: 9</t>
  </si>
  <si>
    <t xml:space="preserve">Move: 8 </t>
  </si>
  <si>
    <t>Move: 4                                                                                                                                                 Immune poison</t>
  </si>
  <si>
    <t>Acid +25</t>
  </si>
  <si>
    <t>Armor Heavy +50XP</t>
  </si>
  <si>
    <t>Armor Light +10XP</t>
  </si>
  <si>
    <t>Armor Medium +20XP</t>
  </si>
  <si>
    <t>Boss +300xp</t>
  </si>
  <si>
    <t>Critical Bleeding +25</t>
  </si>
  <si>
    <t>Critical Blinding +25</t>
  </si>
  <si>
    <t>Critical Dazing +25</t>
  </si>
  <si>
    <t>Critical Stunning +30</t>
  </si>
  <si>
    <t>Double Attack +25</t>
  </si>
  <si>
    <t>Extra Force power: reflect recharge 5+   +15</t>
  </si>
  <si>
    <t>Extra force power: Force enhancement recharge 4+. +20</t>
  </si>
  <si>
    <t>Extra force power: Force sith rage. +20</t>
  </si>
  <si>
    <t>Extra Force power: Riposte recharge 5+   +15</t>
  </si>
  <si>
    <t>Fire +25xp</t>
  </si>
  <si>
    <t>Ground +25XP</t>
  </si>
  <si>
    <t>Ice +25XP</t>
  </si>
  <si>
    <t>Jello +250xp</t>
  </si>
  <si>
    <t>Jiggly Wobbly +25</t>
  </si>
  <si>
    <t>Light +25xp</t>
  </si>
  <si>
    <t>Lightning +25xp</t>
  </si>
  <si>
    <t>Mo Dice Suckers +50</t>
  </si>
  <si>
    <t>One handed Shield +10XP</t>
  </si>
  <si>
    <t>Scary Mask +200xp</t>
  </si>
  <si>
    <t>Sith Holocorn +100</t>
  </si>
  <si>
    <t>Shadow +150xp</t>
  </si>
  <si>
    <t>Shifty +25</t>
  </si>
  <si>
    <t>Skeleton +100xp</t>
  </si>
  <si>
    <t>Slime +25</t>
  </si>
  <si>
    <t>Sticky +25</t>
  </si>
  <si>
    <t>Swarm +25</t>
  </si>
  <si>
    <t>Tentacles +25</t>
  </si>
  <si>
    <t>Two Weapon Fighting +30</t>
  </si>
  <si>
    <t>Water +25XP</t>
  </si>
  <si>
    <t xml:space="preserve">Weapon Bow +10 </t>
  </si>
  <si>
    <t>Weapon One handed Gun +10XP</t>
  </si>
  <si>
    <t>Weapon One handed Hammer +10 XP</t>
  </si>
  <si>
    <t>Weapon one handed Sword +10XP</t>
  </si>
  <si>
    <t>Weapon Pike +10XP</t>
  </si>
  <si>
    <t>Weapon two handed Gun +10XP</t>
  </si>
  <si>
    <t>Weapon Two handed Hammer</t>
  </si>
  <si>
    <t>Weapon two handed Sword +10XP</t>
  </si>
  <si>
    <t>Wind +25xp</t>
  </si>
  <si>
    <t>Zombie +200xp</t>
  </si>
  <si>
    <t>All your attacks deal Acid Damage and extra ongoing 2+half LVL acid damage (save ends). Also you gain a resistance to acid damage equal to 2 + half your LVL.</t>
  </si>
  <si>
    <t>AC bonus +6</t>
  </si>
  <si>
    <t>AC bonus +1</t>
  </si>
  <si>
    <t>AC bonus +3</t>
  </si>
  <si>
    <t xml:space="preserve">+1 attack x LVL                                                                                                                                                                                                                                                                                                                                                                                                                     +1 damage dice, (1d4 becomes 2d4).                                                                                                                                                                                                                                                                                                                                                                          +25 HP x LVL. </t>
  </si>
  <si>
    <t>Whenever you score a critical hit you do and extra 2d4 bleeding damage</t>
  </si>
  <si>
    <t>Whenever you score a critical hit you blind the target (save ends).</t>
  </si>
  <si>
    <t>Whenever you score a critical hit you daze the target (save ends).</t>
  </si>
  <si>
    <t>Whenever you score a critical hit you stun the target.</t>
  </si>
  <si>
    <t>you may make two basic attacks against one creature</t>
  </si>
  <si>
    <t xml:space="preserve">The monster most have a one handed sword equipped.                          Immediate reaction                                                                                      Trigger: when you are hit by a ranged attack.                                                      Effect: you only take half damage from the attack and may redirect the remaining damage to a enemy that you can see within 8 squats of you. </t>
  </si>
  <si>
    <t xml:space="preserve"> Target: self or one adjacent ally.                                                                   Effect: target gains 1d10 damage bonus to all their attacks. </t>
  </si>
  <si>
    <t xml:space="preserve">Sith rage.                                                                                             Trigger; when the Sith is weakend.                                                                 Effect: you gain a attack power bonus and damage bonus equal to your level buttake a penalty to your AC equal to your bonus until the end of the Battle.  </t>
  </si>
  <si>
    <t xml:space="preserve">The monster must have a one-handed sword.                                                   Immediate reaction.                                                                                           Trigger: when you are hit by a melee attack.                                                        Effect: you may make an immediate basic attack against the triggering creature. That attack always hits but only deals half damage. </t>
  </si>
  <si>
    <t>All your attacks deal Fire Damage and extra ongoing 2+half LVL Fire damage (save ends). Also you gain a resistance to Fire damage equal to 2 + half your LVL.</t>
  </si>
  <si>
    <t>All your attacks deal an extra 1d4 + half LVL ground damage. Also you gain a resistance to ground damage equal to 2 + half your LVL.</t>
  </si>
  <si>
    <t>All your attacks deal Ice Damage and extra ongoing 2+half LVL Ice damage (save ends). Also you gain a resistance to Ice damage equal to 2 + half your LVL.</t>
  </si>
  <si>
    <t>Jellos take half damage from all non physical attacks. When a Jello monster reaches 0HP It will break into 4 smaller Jello monsters with all the same stats as the bigger Jello had.</t>
  </si>
  <si>
    <t>Whenever an enemy misses with an attack against this monster shift this monster up to 2 squares.</t>
  </si>
  <si>
    <t>All your attacks deal an extra 1d4 + half LVL light damage. Also you gain a resistance to light damage equal to 2 + half your LVL.</t>
  </si>
  <si>
    <t>All your attacks deal Lighting Damage and extra ongoing 2+half LVL Lighting damage (save ends). Also you gain a resistance to Lighting damage equal to 2 + half your LVL.</t>
  </si>
  <si>
    <t xml:space="preserve">+1 damage dice, (1d4 becomes 2d4).       </t>
  </si>
  <si>
    <t>AC and Reflex bonus +1</t>
  </si>
  <si>
    <t xml:space="preserve">Ranged: Fear
Range Close blast 4 
2+ LVL vs Will
Hit: 1d6 damage and the target is feared.                                                                                               </t>
  </si>
  <si>
    <t xml:space="preserve">In umbris potestas est                                                                                                                                                                                                                                                                                                                                                                                                            "In the shadows, there is power"                                                                                                                                                                                                                                                                                                                                                                               All Sith within a aura 5 count as shadows (including the on holding the Holocron), forthermore all shadows gain:                                                                                                                                                                                                                                                                                                                                   DOMINATING REACH Recharge 6+
Reach 2,                                                                                                                                                                                                                                                                                                                                                                                                                                      2 + LVL vs. Will
5+ LVL Damage and the target is dominated (save ends)                                                                                                                                                                                                                                                                                                                                             SHADOW FEAR (Fear) aura 2; 
enemies in the aura take a –2 penalty to attack rolls.         </t>
  </si>
  <si>
    <t xml:space="preserve">Immunity: Blind, Dazed, Deafened, Domination, Knock down, Feeble, Fear,  Sleep, Exhaustion, Slow, Stun                                                                                                                                                                                                                                                                                                                                                                                                                                                                                                Invisable DC 15+lvl                                                                                                                                                         Power Melee: Dominating Reach 
Recharge 6+
Reach 2,                                                                                                                                              2 + LVL vs. Will,                                                                                                                                        5+ LVL Damage and the target is dominated (save ends)      </t>
  </si>
  <si>
    <t>Whenever an enemy misses this monster with a melee attack shift the monster upto its movement.</t>
  </si>
  <si>
    <t>Immunity: Fear, Domination, Sleep.                                                                                                                                          all piercing damage is halved.</t>
  </si>
  <si>
    <t>Whenever an enemy hits with a melee attack, that enemy takes -1 +half level to their attacks (save ends).</t>
  </si>
  <si>
    <t>When ever this monster is hit whit a melee attack, the attacking enemy counts as being grabed by the defendingmonster.</t>
  </si>
  <si>
    <t>Whenever an enemy starts its turn adjacent to a swarm the swam may make a free basic attack.</t>
  </si>
  <si>
    <t>Gain reach +1,                                                                                                                                                                                                                                                                                              all attacks gain: on a sucsessful hit target is grabed (save ends)</t>
  </si>
  <si>
    <t>When holding a weapon in both hands you may roll two D20 and choose the highest.</t>
  </si>
  <si>
    <t>All your attacks deal Water Damage and extra ongoing 2+half LVL Water damage (save ends). Also you gain a resistance to Water damage equal to 2 + half your LVL.</t>
  </si>
  <si>
    <t>Power: Shoot         Range: 10       Attack: 2+lvl vs Reflex         Damage: 2d4 + LVL</t>
  </si>
  <si>
    <t>Power: Shoot         Range: 7       Attack: 4+lvl vs Reflex         Damage: 1d6 + LVL</t>
  </si>
  <si>
    <t>Power: smash          Attack: 2+LVL vs AC               Damage: 1d6 +twice your LVL and the target is knocked down (save ends)</t>
  </si>
  <si>
    <t>Power: Slice   Attack: 2+LVL vs AC           Damage: 1d6+2+LVL and the target takes an ongoing damage = to half your lvl.</t>
  </si>
  <si>
    <t xml:space="preserve">Power: Stab           Reach: +1 Attack: 2+LVL vs AC               Damage: 1d8+ LVL.  </t>
  </si>
  <si>
    <t>Power: Shoot         Range: 10       Attack: 4+lvl vs Reflex         Damage: 1d8 + LVL</t>
  </si>
  <si>
    <t>Power: Crush          Attack: 4+LVL vs AC               Damage: 1d8 +twice your LVL and the target is knocked down (save ends)</t>
  </si>
  <si>
    <t>Power: Slice   Attack: 2+LVL vs AC           Damage: 1d8+2+LVL and the target takes an ongoing damage = to your lvl.</t>
  </si>
  <si>
    <t>All your attacks deal Wind Damage and extra ongoing 2+half LVL Wind damage (save ends). Also you gain a resistance to Wind damage equal to 2 + half your LVL.</t>
  </si>
  <si>
    <t xml:space="preserve">Movement 4
Immune to poison
Add nanobot infection to one of the monsters attacks: Nanobot infection; target takes an ongoing 2 damage (save ends). If the target fails the first save the target becomes slowed, if the target fails a third time or the target becomes weakened, then it is dominated becoming the same type of zombie that just attacked it (Save ends both).
Add Reanimation: Trigger: After a zombie reaches 0HP. Effect: when it comes to the zombies turn in the initiative the zombie will come back to life in  the square it was killed in, with half its HP or 1 if it’s a minion.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</si>
</sst>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8"/>
      <color theme="1"/>
      <name val="Calibri"/>
      <family val="2"/>
      <scheme val="minor"/>
    </font>
    <font>
      <sz val="8"/>
      <color rgb="FF000000"/>
      <name val="Calibri"/>
      <family val="2"/>
      <scheme val="minor"/>
    </font>
    <font>
      <sz val="10"/>
      <color theme="1"/>
      <name val="Calibri"/>
      <family val="2"/>
      <scheme val="minor"/>
    </font>
    <font>
      <sz val="9"/>
      <color theme="1"/>
      <name val="Calibri"/>
      <family val="2"/>
      <scheme val="minor"/>
    </font>
    <font>
      <sz val="12"/>
      <color theme="1"/>
      <name val="Calibri"/>
      <family val="2"/>
      <scheme val="minor"/>
    </font>
    <font>
      <sz val="14"/>
      <color theme="1"/>
      <name val="Calibri"/>
      <family val="2"/>
      <scheme val="minor"/>
    </font>
    <font>
      <sz val="20"/>
      <color theme="1"/>
      <name val="Calibri"/>
      <family val="2"/>
      <scheme val="minor"/>
    </font>
    <font>
      <u/>
      <sz val="11"/>
      <color theme="11"/>
      <name val="Calibri"/>
      <family val="2"/>
      <scheme val="minor"/>
    </font>
    <font>
      <u/>
      <sz val="11"/>
      <color theme="10"/>
      <name val="Calibri"/>
      <family val="2"/>
      <scheme val="minor"/>
    </font>
    <font>
      <b/>
      <sz val="11"/>
      <color theme="1"/>
      <name val="Calibri"/>
      <family val="2"/>
      <scheme val="minor"/>
    </font>
    <font>
      <sz val="7"/>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5"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189">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106">
    <xf numFmtId="0" fontId="0" fillId="0" borderId="0" xfId="0"/>
    <xf numFmtId="0" fontId="0" fillId="0" borderId="1" xfId="0" applyBorder="1"/>
    <xf numFmtId="0" fontId="0" fillId="3" borderId="0" xfId="0" applyFill="1"/>
    <xf numFmtId="0" fontId="0" fillId="0" borderId="1" xfId="0" applyBorder="1" applyProtection="1">
      <protection locked="0"/>
    </xf>
    <xf numFmtId="0" fontId="0" fillId="5" borderId="0" xfId="0" applyFill="1"/>
    <xf numFmtId="0" fontId="0" fillId="7" borderId="1" xfId="0" applyFill="1" applyBorder="1"/>
    <xf numFmtId="0" fontId="0" fillId="6" borderId="1" xfId="0" applyFont="1" applyFill="1" applyBorder="1"/>
    <xf numFmtId="0" fontId="0" fillId="8" borderId="1" xfId="0" applyFill="1" applyBorder="1" applyAlignment="1">
      <alignment wrapText="1"/>
    </xf>
    <xf numFmtId="0" fontId="0" fillId="3" borderId="1" xfId="0" applyFill="1" applyBorder="1"/>
    <xf numFmtId="0" fontId="0" fillId="3" borderId="1" xfId="0" applyFont="1" applyFill="1" applyBorder="1"/>
    <xf numFmtId="0" fontId="0" fillId="3" borderId="1" xfId="0" applyFont="1" applyFill="1" applyBorder="1" applyAlignment="1">
      <alignment vertical="top" wrapText="1"/>
    </xf>
    <xf numFmtId="0" fontId="0" fillId="0" borderId="1" xfId="0" applyBorder="1" applyAlignment="1">
      <alignment horizontal="center"/>
    </xf>
    <xf numFmtId="0" fontId="5" fillId="7" borderId="1" xfId="0" applyFont="1" applyFill="1" applyBorder="1" applyAlignment="1">
      <alignment horizontal="center"/>
    </xf>
    <xf numFmtId="0" fontId="5" fillId="6" borderId="1" xfId="0" applyFont="1" applyFill="1" applyBorder="1" applyAlignment="1">
      <alignment horizontal="center"/>
    </xf>
    <xf numFmtId="0" fontId="0" fillId="0" borderId="0" xfId="0" applyAlignment="1">
      <alignment horizontal="left" vertical="top" wrapText="1"/>
    </xf>
    <xf numFmtId="0" fontId="0" fillId="0" borderId="0" xfId="0" applyAlignment="1">
      <alignment wrapText="1"/>
    </xf>
    <xf numFmtId="0" fontId="4" fillId="0" borderId="11" xfId="0" applyFont="1" applyBorder="1" applyAlignment="1">
      <alignment vertical="top" wrapText="1"/>
    </xf>
    <xf numFmtId="0" fontId="4" fillId="0" borderId="0" xfId="0" applyFont="1" applyBorder="1" applyAlignment="1">
      <alignment vertical="top" wrapText="1"/>
    </xf>
    <xf numFmtId="0" fontId="4" fillId="0" borderId="1" xfId="0" applyFont="1" applyBorder="1" applyAlignment="1">
      <alignment horizontal="left" vertical="top"/>
    </xf>
    <xf numFmtId="0" fontId="4" fillId="0" borderId="7" xfId="0" applyFont="1" applyBorder="1" applyAlignment="1">
      <alignment vertical="top" wrapText="1"/>
    </xf>
    <xf numFmtId="0" fontId="4" fillId="0" borderId="12"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11" fillId="0" borderId="11" xfId="0" applyFont="1" applyBorder="1" applyAlignment="1">
      <alignment vertical="top" wrapText="1"/>
    </xf>
    <xf numFmtId="0" fontId="11" fillId="0" borderId="0" xfId="0" applyFont="1" applyBorder="1" applyAlignment="1">
      <alignment vertical="top" wrapText="1"/>
    </xf>
    <xf numFmtId="0" fontId="11" fillId="0" borderId="7" xfId="0" applyFont="1" applyBorder="1" applyAlignment="1">
      <alignment vertical="top" wrapText="1"/>
    </xf>
    <xf numFmtId="0" fontId="0" fillId="0" borderId="0" xfId="0"/>
    <xf numFmtId="0" fontId="11" fillId="0" borderId="11" xfId="0" applyFont="1" applyBorder="1" applyAlignment="1">
      <alignment horizontal="left" vertical="top" wrapText="1"/>
    </xf>
    <xf numFmtId="0" fontId="11" fillId="0" borderId="0" xfId="0" applyFont="1" applyBorder="1" applyAlignment="1">
      <alignment horizontal="left" vertical="top" wrapText="1"/>
    </xf>
    <xf numFmtId="0" fontId="11" fillId="0" borderId="7" xfId="0" applyFont="1" applyBorder="1" applyAlignment="1">
      <alignment horizontal="left" vertical="top" wrapText="1"/>
    </xf>
    <xf numFmtId="0" fontId="0" fillId="0" borderId="0" xfId="0" applyAlignment="1">
      <alignment wrapText="1"/>
    </xf>
    <xf numFmtId="0" fontId="7" fillId="0" borderId="5" xfId="0" applyFont="1" applyBorder="1" applyAlignment="1">
      <alignment horizontal="center"/>
    </xf>
    <xf numFmtId="0" fontId="7" fillId="0" borderId="0" xfId="0" applyFont="1" applyAlignment="1">
      <alignment horizontal="center"/>
    </xf>
    <xf numFmtId="0" fontId="4" fillId="4" borderId="1" xfId="0" applyFont="1" applyFill="1" applyBorder="1" applyAlignment="1" applyProtection="1">
      <alignment horizontal="center" vertical="top" wrapText="1"/>
      <protection locked="0"/>
    </xf>
    <xf numFmtId="0" fontId="3" fillId="0" borderId="1" xfId="0" applyFont="1" applyBorder="1" applyAlignment="1">
      <alignment vertical="top" wrapText="1"/>
    </xf>
    <xf numFmtId="0" fontId="0" fillId="0" borderId="1" xfId="0" applyBorder="1" applyAlignment="1" applyProtection="1">
      <alignment horizontal="center" vertical="center" wrapText="1"/>
      <protection locked="0"/>
    </xf>
    <xf numFmtId="0" fontId="0" fillId="2" borderId="1" xfId="0" applyFont="1" applyFill="1" applyBorder="1" applyAlignment="1" applyProtection="1">
      <alignment horizontal="left" vertical="top" wrapText="1"/>
      <protection locked="0"/>
    </xf>
    <xf numFmtId="0" fontId="4" fillId="5" borderId="1" xfId="0" applyFont="1" applyFill="1" applyBorder="1" applyAlignment="1">
      <alignment horizontal="left" vertical="top" wrapText="1"/>
    </xf>
    <xf numFmtId="0" fontId="0" fillId="8" borderId="1" xfId="0" applyFill="1" applyBorder="1" applyAlignment="1">
      <alignment horizontal="center" wrapText="1"/>
    </xf>
    <xf numFmtId="0" fontId="6" fillId="0" borderId="5" xfId="0" applyFont="1" applyBorder="1" applyAlignment="1">
      <alignment horizontal="center" vertical="top" wrapText="1"/>
    </xf>
    <xf numFmtId="0" fontId="6" fillId="0" borderId="6" xfId="0" applyFont="1" applyBorder="1" applyAlignment="1">
      <alignment horizontal="center" vertical="top" wrapText="1"/>
    </xf>
    <xf numFmtId="0" fontId="6" fillId="0" borderId="0" xfId="0" applyFont="1" applyBorder="1" applyAlignment="1">
      <alignment horizontal="center" vertical="top" wrapText="1"/>
    </xf>
    <xf numFmtId="0" fontId="6" fillId="0" borderId="7" xfId="0" applyFont="1" applyBorder="1" applyAlignment="1">
      <alignment horizontal="center" vertical="top" wrapText="1"/>
    </xf>
    <xf numFmtId="0" fontId="6" fillId="0" borderId="8" xfId="0" applyFont="1" applyBorder="1" applyAlignment="1">
      <alignment horizontal="center" vertical="top" wrapText="1"/>
    </xf>
    <xf numFmtId="0" fontId="6" fillId="0" borderId="9" xfId="0" applyFont="1" applyBorder="1" applyAlignment="1">
      <alignment horizontal="center" vertical="top" wrapText="1"/>
    </xf>
    <xf numFmtId="0" fontId="4" fillId="10"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 fillId="12" borderId="2" xfId="0" applyFont="1" applyFill="1" applyBorder="1" applyAlignment="1">
      <alignment horizontal="center" vertical="top" wrapText="1"/>
    </xf>
    <xf numFmtId="0" fontId="1" fillId="12" borderId="4" xfId="0" applyFont="1" applyFill="1" applyBorder="1" applyAlignment="1">
      <alignment horizontal="center" vertical="top" wrapText="1"/>
    </xf>
    <xf numFmtId="0" fontId="11" fillId="9" borderId="1" xfId="0" applyFont="1" applyFill="1" applyBorder="1" applyAlignment="1">
      <alignment horizontal="left" vertical="top" wrapText="1"/>
    </xf>
    <xf numFmtId="0" fontId="1" fillId="8" borderId="10" xfId="0" applyFont="1" applyFill="1" applyBorder="1" applyAlignment="1">
      <alignment horizontal="left" vertical="top" wrapText="1"/>
    </xf>
    <xf numFmtId="0" fontId="1" fillId="8" borderId="5" xfId="0" applyFont="1" applyFill="1" applyBorder="1" applyAlignment="1">
      <alignment horizontal="left" vertical="top" wrapText="1"/>
    </xf>
    <xf numFmtId="0" fontId="1" fillId="8" borderId="6" xfId="0" applyFont="1" applyFill="1" applyBorder="1" applyAlignment="1">
      <alignment horizontal="left" vertical="top" wrapText="1"/>
    </xf>
    <xf numFmtId="0" fontId="1" fillId="8" borderId="12" xfId="0" applyFont="1" applyFill="1" applyBorder="1" applyAlignment="1">
      <alignment horizontal="left" vertical="top" wrapText="1"/>
    </xf>
    <xf numFmtId="0" fontId="1" fillId="8" borderId="8" xfId="0" applyFont="1" applyFill="1" applyBorder="1" applyAlignment="1">
      <alignment horizontal="left" vertical="top" wrapText="1"/>
    </xf>
    <xf numFmtId="0" fontId="1" fillId="8" borderId="9" xfId="0" applyFont="1" applyFill="1" applyBorder="1" applyAlignment="1">
      <alignment horizontal="left" vertical="top" wrapText="1"/>
    </xf>
    <xf numFmtId="0" fontId="4" fillId="11" borderId="10" xfId="0" applyFont="1" applyFill="1" applyBorder="1" applyAlignment="1">
      <alignment horizontal="center" vertical="top" wrapText="1"/>
    </xf>
    <xf numFmtId="0" fontId="4" fillId="11" borderId="5" xfId="0" applyFont="1" applyFill="1" applyBorder="1" applyAlignment="1">
      <alignment horizontal="center" vertical="top" wrapText="1"/>
    </xf>
    <xf numFmtId="0" fontId="4" fillId="11" borderId="6" xfId="0" applyFont="1" applyFill="1" applyBorder="1" applyAlignment="1">
      <alignment horizontal="center" vertical="top" wrapText="1"/>
    </xf>
    <xf numFmtId="0" fontId="4" fillId="11" borderId="12" xfId="0" applyFont="1" applyFill="1" applyBorder="1" applyAlignment="1">
      <alignment horizontal="center" vertical="top" wrapText="1"/>
    </xf>
    <xf numFmtId="0" fontId="4" fillId="11" borderId="8" xfId="0" applyFont="1" applyFill="1" applyBorder="1" applyAlignment="1">
      <alignment horizontal="center" vertical="top" wrapText="1"/>
    </xf>
    <xf numFmtId="0" fontId="4" fillId="11" borderId="9" xfId="0" applyFont="1" applyFill="1" applyBorder="1" applyAlignment="1">
      <alignment horizontal="center" vertical="top" wrapText="1"/>
    </xf>
    <xf numFmtId="0" fontId="4" fillId="6" borderId="12" xfId="0" applyFont="1" applyFill="1" applyBorder="1" applyAlignment="1">
      <alignment horizontal="center" vertical="top" wrapText="1"/>
    </xf>
    <xf numFmtId="0" fontId="4" fillId="6" borderId="8" xfId="0" applyFont="1" applyFill="1" applyBorder="1" applyAlignment="1">
      <alignment horizontal="center" vertical="top" wrapText="1"/>
    </xf>
    <xf numFmtId="0" fontId="4" fillId="6" borderId="9" xfId="0" applyFont="1" applyFill="1" applyBorder="1" applyAlignment="1">
      <alignment horizontal="center" vertical="top" wrapText="1"/>
    </xf>
    <xf numFmtId="0" fontId="4" fillId="6" borderId="10" xfId="0" applyFont="1" applyFill="1" applyBorder="1" applyAlignment="1">
      <alignment horizontal="center" vertical="top"/>
    </xf>
    <xf numFmtId="0" fontId="4" fillId="6" borderId="5" xfId="0" applyFont="1" applyFill="1" applyBorder="1" applyAlignment="1">
      <alignment horizontal="center" vertical="top"/>
    </xf>
    <xf numFmtId="0" fontId="4" fillId="6" borderId="6" xfId="0" applyFont="1" applyFill="1" applyBorder="1" applyAlignment="1">
      <alignment horizontal="center" vertical="top"/>
    </xf>
    <xf numFmtId="0" fontId="4" fillId="12" borderId="4" xfId="0" applyFont="1" applyFill="1" applyBorder="1" applyAlignment="1">
      <alignment horizontal="center" vertical="top" wrapText="1"/>
    </xf>
    <xf numFmtId="0" fontId="4" fillId="12" borderId="3" xfId="0" applyFont="1" applyFill="1" applyBorder="1" applyAlignment="1">
      <alignment horizontal="center" vertical="top" wrapText="1"/>
    </xf>
    <xf numFmtId="0" fontId="4" fillId="5" borderId="10"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5" borderId="6" xfId="0" applyFont="1" applyFill="1" applyBorder="1" applyAlignment="1">
      <alignment horizontal="left" vertical="top" wrapText="1"/>
    </xf>
    <xf numFmtId="0" fontId="4" fillId="5" borderId="11" xfId="0" applyFont="1" applyFill="1" applyBorder="1" applyAlignment="1">
      <alignment horizontal="left" vertical="top" wrapText="1"/>
    </xf>
    <xf numFmtId="0" fontId="4" fillId="5" borderId="0" xfId="0" applyFont="1" applyFill="1" applyBorder="1" applyAlignment="1">
      <alignment horizontal="left" vertical="top" wrapText="1"/>
    </xf>
    <xf numFmtId="0" fontId="4" fillId="5" borderId="7" xfId="0" applyFont="1" applyFill="1" applyBorder="1" applyAlignment="1">
      <alignment horizontal="left" vertical="top" wrapText="1"/>
    </xf>
    <xf numFmtId="0" fontId="4" fillId="5" borderId="12" xfId="0" applyFont="1" applyFill="1" applyBorder="1" applyAlignment="1">
      <alignment horizontal="left" vertical="top" wrapText="1"/>
    </xf>
    <xf numFmtId="0" fontId="4" fillId="5" borderId="8" xfId="0" applyFont="1" applyFill="1" applyBorder="1" applyAlignment="1">
      <alignment horizontal="left" vertical="top" wrapText="1"/>
    </xf>
    <xf numFmtId="0" fontId="4" fillId="5"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11" xfId="0" applyFont="1" applyBorder="1" applyAlignment="1">
      <alignment horizontal="left" vertical="top" wrapText="1"/>
    </xf>
    <xf numFmtId="0" fontId="4" fillId="0" borderId="0" xfId="0" applyFont="1" applyBorder="1" applyAlignment="1">
      <alignment horizontal="left" vertical="top" wrapText="1"/>
    </xf>
    <xf numFmtId="0" fontId="4" fillId="0" borderId="7" xfId="0" applyFont="1" applyBorder="1" applyAlignment="1">
      <alignment horizontal="left" vertical="top" wrapText="1"/>
    </xf>
    <xf numFmtId="0" fontId="4" fillId="0" borderId="12"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 xfId="0" applyFont="1" applyBorder="1" applyAlignment="1">
      <alignment horizontal="left" vertical="top"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Border="1" applyAlignment="1">
      <alignment horizontal="left" vertical="top" wrapText="1"/>
    </xf>
    <xf numFmtId="0" fontId="11" fillId="0" borderId="7" xfId="0" applyFont="1" applyBorder="1" applyAlignment="1">
      <alignment horizontal="left" vertical="top" wrapText="1"/>
    </xf>
    <xf numFmtId="0" fontId="11" fillId="0" borderId="11" xfId="0" applyFont="1" applyBorder="1" applyAlignment="1">
      <alignment horizontal="left" vertical="top" wrapText="1"/>
    </xf>
    <xf numFmtId="0" fontId="11" fillId="0" borderId="11" xfId="0" applyFont="1" applyBorder="1" applyAlignment="1">
      <alignment horizontal="center" vertical="top" wrapText="1"/>
    </xf>
    <xf numFmtId="0" fontId="11" fillId="0" borderId="0" xfId="0" applyFont="1" applyBorder="1" applyAlignment="1">
      <alignment horizontal="center" vertical="top" wrapText="1"/>
    </xf>
    <xf numFmtId="0" fontId="11" fillId="0" borderId="7" xfId="0" applyFont="1" applyBorder="1" applyAlignment="1">
      <alignment horizontal="center" vertical="top" wrapText="1"/>
    </xf>
    <xf numFmtId="0" fontId="4" fillId="0" borderId="10" xfId="0" applyFont="1" applyBorder="1" applyAlignment="1">
      <alignment horizontal="center" vertical="top"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4" fillId="0" borderId="11" xfId="0" applyFont="1" applyBorder="1" applyAlignment="1">
      <alignment horizontal="center" vertical="top" wrapText="1"/>
    </xf>
    <xf numFmtId="0" fontId="4" fillId="0" borderId="0" xfId="0" applyFont="1" applyBorder="1" applyAlignment="1">
      <alignment horizontal="center" vertical="top" wrapText="1"/>
    </xf>
    <xf numFmtId="0" fontId="4" fillId="0" borderId="7" xfId="0" applyFont="1" applyBorder="1" applyAlignment="1">
      <alignment horizontal="center" vertical="top" wrapText="1"/>
    </xf>
    <xf numFmtId="0" fontId="11" fillId="0" borderId="10" xfId="0" applyFont="1" applyBorder="1" applyAlignment="1">
      <alignment horizontal="left" vertical="top" wrapText="1"/>
    </xf>
    <xf numFmtId="0" fontId="0" fillId="0" borderId="0" xfId="0" applyAlignment="1">
      <alignment wrapText="1"/>
    </xf>
    <xf numFmtId="0" fontId="0" fillId="0" borderId="0" xfId="0" applyAlignment="1"/>
  </cellXfs>
  <cellStyles count="189">
    <cellStyle name="Followed Hyperlink" xfId="131" builtinId="9" hidden="1"/>
    <cellStyle name="Followed Hyperlink" xfId="107" builtinId="9" hidden="1"/>
    <cellStyle name="Followed Hyperlink" xfId="37" builtinId="9" hidden="1"/>
    <cellStyle name="Followed Hyperlink" xfId="7" builtinId="9" hidden="1"/>
    <cellStyle name="Followed Hyperlink" xfId="77" builtinId="9" hidden="1"/>
    <cellStyle name="Followed Hyperlink" xfId="159" builtinId="9" hidden="1"/>
    <cellStyle name="Followed Hyperlink" xfId="155" builtinId="9" hidden="1"/>
    <cellStyle name="Followed Hyperlink" xfId="15" builtinId="9" hidden="1"/>
    <cellStyle name="Followed Hyperlink" xfId="165" builtinId="9" hidden="1"/>
    <cellStyle name="Followed Hyperlink" xfId="25" builtinId="9" hidden="1"/>
    <cellStyle name="Followed Hyperlink" xfId="109" builtinId="9" hidden="1"/>
    <cellStyle name="Followed Hyperlink" xfId="99" builtinId="9" hidden="1"/>
    <cellStyle name="Followed Hyperlink" xfId="13" builtinId="9" hidden="1"/>
    <cellStyle name="Followed Hyperlink" xfId="3" builtinId="9" hidden="1"/>
    <cellStyle name="Followed Hyperlink" xfId="83" builtinId="9" hidden="1"/>
    <cellStyle name="Followed Hyperlink" xfId="57" builtinId="9" hidden="1"/>
    <cellStyle name="Followed Hyperlink" xfId="43" builtinId="9" hidden="1"/>
    <cellStyle name="Followed Hyperlink" xfId="135" builtinId="9" hidden="1"/>
    <cellStyle name="Followed Hyperlink" xfId="67" builtinId="9" hidden="1"/>
    <cellStyle name="Followed Hyperlink" xfId="11" builtinId="9" hidden="1"/>
    <cellStyle name="Followed Hyperlink" xfId="19" builtinId="9" hidden="1"/>
    <cellStyle name="Followed Hyperlink" xfId="5" builtinId="9" hidden="1"/>
    <cellStyle name="Followed Hyperlink" xfId="147" builtinId="9" hidden="1"/>
    <cellStyle name="Followed Hyperlink" xfId="137" builtinId="9" hidden="1"/>
    <cellStyle name="Followed Hyperlink" xfId="187" builtinId="9" hidden="1"/>
    <cellStyle name="Followed Hyperlink" xfId="105" builtinId="9" hidden="1"/>
    <cellStyle name="Followed Hyperlink" xfId="143" builtinId="9" hidden="1"/>
    <cellStyle name="Followed Hyperlink" xfId="119" builtinId="9" hidden="1"/>
    <cellStyle name="Followed Hyperlink" xfId="161" builtinId="9" hidden="1"/>
    <cellStyle name="Followed Hyperlink" xfId="59" builtinId="9" hidden="1"/>
    <cellStyle name="Followed Hyperlink" xfId="133" builtinId="9" hidden="1"/>
    <cellStyle name="Followed Hyperlink" xfId="167" builtinId="9" hidden="1"/>
    <cellStyle name="Followed Hyperlink" xfId="49" builtinId="9" hidden="1"/>
    <cellStyle name="Followed Hyperlink" xfId="31" builtinId="9" hidden="1"/>
    <cellStyle name="Followed Hyperlink" xfId="69" builtinId="9" hidden="1"/>
    <cellStyle name="Followed Hyperlink" xfId="97" builtinId="9" hidden="1"/>
    <cellStyle name="Followed Hyperlink" xfId="169" builtinId="9" hidden="1"/>
    <cellStyle name="Followed Hyperlink" xfId="139" builtinId="9" hidden="1"/>
    <cellStyle name="Followed Hyperlink" xfId="111" builtinId="9" hidden="1"/>
    <cellStyle name="Followed Hyperlink" xfId="79" builtinId="9" hidden="1"/>
    <cellStyle name="Followed Hyperlink" xfId="129" builtinId="9" hidden="1"/>
    <cellStyle name="Followed Hyperlink" xfId="157" builtinId="9" hidden="1"/>
    <cellStyle name="Followed Hyperlink" xfId="65" builtinId="9" hidden="1"/>
    <cellStyle name="Followed Hyperlink" xfId="53" builtinId="9" hidden="1"/>
    <cellStyle name="Followed Hyperlink" xfId="85" builtinId="9" hidden="1"/>
    <cellStyle name="Followed Hyperlink" xfId="63" builtinId="9" hidden="1"/>
    <cellStyle name="Followed Hyperlink" xfId="175" builtinId="9" hidden="1"/>
    <cellStyle name="Followed Hyperlink" xfId="95" builtinId="9" hidden="1"/>
    <cellStyle name="Followed Hyperlink" xfId="125" builtinId="9" hidden="1"/>
    <cellStyle name="Followed Hyperlink" xfId="29" builtinId="9" hidden="1"/>
    <cellStyle name="Followed Hyperlink" xfId="149" builtinId="9" hidden="1"/>
    <cellStyle name="Followed Hyperlink" xfId="115" builtinId="9" hidden="1"/>
    <cellStyle name="Followed Hyperlink" xfId="81" builtinId="9" hidden="1"/>
    <cellStyle name="Followed Hyperlink" xfId="93" builtinId="9" hidden="1"/>
    <cellStyle name="Followed Hyperlink" xfId="55" builtinId="9" hidden="1"/>
    <cellStyle name="Followed Hyperlink" xfId="113" builtinId="9" hidden="1"/>
    <cellStyle name="Followed Hyperlink" xfId="123" builtinId="9" hidden="1"/>
    <cellStyle name="Followed Hyperlink" xfId="91" builtinId="9" hidden="1"/>
    <cellStyle name="Followed Hyperlink" xfId="23" builtinId="9" hidden="1"/>
    <cellStyle name="Followed Hyperlink" xfId="71" builtinId="9" hidden="1"/>
    <cellStyle name="Followed Hyperlink" xfId="121" builtinId="9" hidden="1"/>
    <cellStyle name="Followed Hyperlink" xfId="145" builtinId="9" hidden="1"/>
    <cellStyle name="Followed Hyperlink" xfId="17" builtinId="9" hidden="1"/>
    <cellStyle name="Followed Hyperlink" xfId="179" builtinId="9" hidden="1"/>
    <cellStyle name="Followed Hyperlink" xfId="185" builtinId="9" hidden="1"/>
    <cellStyle name="Followed Hyperlink" xfId="151" builtinId="9" hidden="1"/>
    <cellStyle name="Followed Hyperlink" xfId="141" builtinId="9" hidden="1"/>
    <cellStyle name="Followed Hyperlink" xfId="35" builtinId="9" hidden="1"/>
    <cellStyle name="Followed Hyperlink" xfId="171" builtinId="9" hidden="1"/>
    <cellStyle name="Followed Hyperlink" xfId="177" builtinId="9" hidden="1"/>
    <cellStyle name="Followed Hyperlink" xfId="181" builtinId="9" hidden="1"/>
    <cellStyle name="Followed Hyperlink" xfId="87" builtinId="9" hidden="1"/>
    <cellStyle name="Followed Hyperlink" xfId="61" builtinId="9" hidden="1"/>
    <cellStyle name="Followed Hyperlink" xfId="103" builtinId="9" hidden="1"/>
    <cellStyle name="Followed Hyperlink" xfId="27" builtinId="9" hidden="1"/>
    <cellStyle name="Followed Hyperlink" xfId="75" builtinId="9" hidden="1"/>
    <cellStyle name="Followed Hyperlink" xfId="153" builtinId="9" hidden="1"/>
    <cellStyle name="Followed Hyperlink" xfId="51" builtinId="9" hidden="1"/>
    <cellStyle name="Followed Hyperlink" xfId="89" builtinId="9" hidden="1"/>
    <cellStyle name="Followed Hyperlink" xfId="39" builtinId="9" hidden="1"/>
    <cellStyle name="Followed Hyperlink" xfId="41" builtinId="9" hidden="1"/>
    <cellStyle name="Followed Hyperlink" xfId="1" builtinId="9" hidden="1"/>
    <cellStyle name="Followed Hyperlink" xfId="9" builtinId="9" hidden="1"/>
    <cellStyle name="Followed Hyperlink" xfId="101" builtinId="9" hidden="1"/>
    <cellStyle name="Followed Hyperlink" xfId="117" builtinId="9" hidden="1"/>
    <cellStyle name="Followed Hyperlink" xfId="47" builtinId="9" hidden="1"/>
    <cellStyle name="Followed Hyperlink" xfId="173" builtinId="9" hidden="1"/>
    <cellStyle name="Followed Hyperlink" xfId="73" builtinId="9" hidden="1"/>
    <cellStyle name="Followed Hyperlink" xfId="127" builtinId="9" hidden="1"/>
    <cellStyle name="Followed Hyperlink" xfId="45" builtinId="9" hidden="1"/>
    <cellStyle name="Followed Hyperlink" xfId="163" builtinId="9" hidden="1"/>
    <cellStyle name="Followed Hyperlink" xfId="183" builtinId="9" hidden="1"/>
    <cellStyle name="Followed Hyperlink" xfId="21" builtinId="9" hidden="1"/>
    <cellStyle name="Followed Hyperlink" xfId="33" builtinId="9" hidden="1"/>
    <cellStyle name="Hyperlink" xfId="12" builtinId="8" hidden="1"/>
    <cellStyle name="Hyperlink" xfId="14" builtinId="8" hidden="1"/>
    <cellStyle name="Hyperlink" xfId="6" builtinId="8" hidden="1"/>
    <cellStyle name="Hyperlink" xfId="60" builtinId="8" hidden="1"/>
    <cellStyle name="Hyperlink" xfId="114" builtinId="8" hidden="1"/>
    <cellStyle name="Hyperlink" xfId="98" builtinId="8" hidden="1"/>
    <cellStyle name="Hyperlink" xfId="142" builtinId="8" hidden="1"/>
    <cellStyle name="Hyperlink" xfId="10" builtinId="8" hidden="1"/>
    <cellStyle name="Hyperlink" xfId="38" builtinId="8" hidden="1"/>
    <cellStyle name="Hyperlink" xfId="174" builtinId="8" hidden="1"/>
    <cellStyle name="Hyperlink" xfId="76" builtinId="8" hidden="1"/>
    <cellStyle name="Hyperlink" xfId="108" builtinId="8" hidden="1"/>
    <cellStyle name="Hyperlink" xfId="42" builtinId="8" hidden="1"/>
    <cellStyle name="Hyperlink" xfId="182" builtinId="8" hidden="1"/>
    <cellStyle name="Hyperlink" xfId="136" builtinId="8" hidden="1"/>
    <cellStyle name="Hyperlink" xfId="8" builtinId="8" hidden="1"/>
    <cellStyle name="Hyperlink" xfId="54" builtinId="8" hidden="1"/>
    <cellStyle name="Hyperlink" xfId="102" builtinId="8" hidden="1"/>
    <cellStyle name="Hyperlink" xfId="148" builtinId="8" hidden="1"/>
    <cellStyle name="Hyperlink" xfId="160" builtinId="8" hidden="1"/>
    <cellStyle name="Hyperlink" xfId="180" builtinId="8" hidden="1"/>
    <cellStyle name="Hyperlink" xfId="96" builtinId="8" hidden="1"/>
    <cellStyle name="Hyperlink" xfId="100" builtinId="8" hidden="1"/>
    <cellStyle name="Hyperlink" xfId="94" builtinId="8" hidden="1"/>
    <cellStyle name="Hyperlink" xfId="162" builtinId="8" hidden="1"/>
    <cellStyle name="Hyperlink" xfId="170" builtinId="8" hidden="1"/>
    <cellStyle name="Hyperlink" xfId="150" builtinId="8" hidden="1"/>
    <cellStyle name="Hyperlink" xfId="2" builtinId="8" hidden="1"/>
    <cellStyle name="Hyperlink" xfId="154" builtinId="8" hidden="1"/>
    <cellStyle name="Hyperlink" xfId="122" builtinId="8" hidden="1"/>
    <cellStyle name="Hyperlink" xfId="188" builtinId="8" hidden="1"/>
    <cellStyle name="Hyperlink" xfId="112" builtinId="8" hidden="1"/>
    <cellStyle name="Hyperlink" xfId="68" builtinId="8" hidden="1"/>
    <cellStyle name="Hyperlink" xfId="40" builtinId="8" hidden="1"/>
    <cellStyle name="Hyperlink" xfId="116" builtinId="8" hidden="1"/>
    <cellStyle name="Hyperlink" xfId="84" builtinId="8" hidden="1"/>
    <cellStyle name="Hyperlink" xfId="80" builtinId="8" hidden="1"/>
    <cellStyle name="Hyperlink" xfId="48" builtinId="8" hidden="1"/>
    <cellStyle name="Hyperlink" xfId="64" builtinId="8" hidden="1"/>
    <cellStyle name="Hyperlink" xfId="184" builtinId="8" hidden="1"/>
    <cellStyle name="Hyperlink" xfId="168" builtinId="8" hidden="1"/>
    <cellStyle name="Hyperlink" xfId="164" builtinId="8" hidden="1"/>
    <cellStyle name="Hyperlink" xfId="66" builtinId="8" hidden="1"/>
    <cellStyle name="Hyperlink" xfId="156" builtinId="8" hidden="1"/>
    <cellStyle name="Hyperlink" xfId="166" builtinId="8" hidden="1"/>
    <cellStyle name="Hyperlink" xfId="92" builtinId="8" hidden="1"/>
    <cellStyle name="Hyperlink" xfId="178" builtinId="8" hidden="1"/>
    <cellStyle name="Hyperlink" xfId="128" builtinId="8" hidden="1"/>
    <cellStyle name="Hyperlink" xfId="118" builtinId="8" hidden="1"/>
    <cellStyle name="Hyperlink" xfId="30" builtinId="8" hidden="1"/>
    <cellStyle name="Hyperlink" xfId="104" builtinId="8" hidden="1"/>
    <cellStyle name="Hyperlink" xfId="4" builtinId="8" hidden="1"/>
    <cellStyle name="Hyperlink" xfId="126" builtinId="8" hidden="1"/>
    <cellStyle name="Hyperlink" xfId="140" builtinId="8" hidden="1"/>
    <cellStyle name="Hyperlink" xfId="158" builtinId="8" hidden="1"/>
    <cellStyle name="Hyperlink" xfId="16" builtinId="8" hidden="1"/>
    <cellStyle name="Hyperlink" xfId="46" builtinId="8" hidden="1"/>
    <cellStyle name="Hyperlink" xfId="176" builtinId="8" hidden="1"/>
    <cellStyle name="Hyperlink" xfId="20" builtinId="8" hidden="1"/>
    <cellStyle name="Hyperlink" xfId="26" builtinId="8" hidden="1"/>
    <cellStyle name="Hyperlink" xfId="146" builtinId="8" hidden="1"/>
    <cellStyle name="Hyperlink" xfId="18" builtinId="8" hidden="1"/>
    <cellStyle name="Hyperlink" xfId="34" builtinId="8" hidden="1"/>
    <cellStyle name="Hyperlink" xfId="78" builtinId="8" hidden="1"/>
    <cellStyle name="Hyperlink" xfId="82" builtinId="8" hidden="1"/>
    <cellStyle name="Hyperlink" xfId="130" builtinId="8" hidden="1"/>
    <cellStyle name="Hyperlink" xfId="134" builtinId="8" hidden="1"/>
    <cellStyle name="Hyperlink" xfId="144" builtinId="8" hidden="1"/>
    <cellStyle name="Hyperlink" xfId="50" builtinId="8" hidden="1"/>
    <cellStyle name="Hyperlink" xfId="24" builtinId="8" hidden="1"/>
    <cellStyle name="Hyperlink" xfId="36" builtinId="8" hidden="1"/>
    <cellStyle name="Hyperlink" xfId="110" builtinId="8" hidden="1"/>
    <cellStyle name="Hyperlink" xfId="56" builtinId="8" hidden="1"/>
    <cellStyle name="Hyperlink" xfId="72" builtinId="8" hidden="1"/>
    <cellStyle name="Hyperlink" xfId="86" builtinId="8" hidden="1"/>
    <cellStyle name="Hyperlink" xfId="58" builtinId="8" hidden="1"/>
    <cellStyle name="Hyperlink" xfId="22" builtinId="8" hidden="1"/>
    <cellStyle name="Hyperlink" xfId="52" builtinId="8" hidden="1"/>
    <cellStyle name="Hyperlink" xfId="138" builtinId="8" hidden="1"/>
    <cellStyle name="Hyperlink" xfId="90" builtinId="8" hidden="1"/>
    <cellStyle name="Hyperlink" xfId="44" builtinId="8" hidden="1"/>
    <cellStyle name="Hyperlink" xfId="62" builtinId="8" hidden="1"/>
    <cellStyle name="Hyperlink" xfId="132" builtinId="8" hidden="1"/>
    <cellStyle name="Hyperlink" xfId="124" builtinId="8" hidden="1"/>
    <cellStyle name="Hyperlink" xfId="120" builtinId="8" hidden="1"/>
    <cellStyle name="Hyperlink" xfId="74" builtinId="8" hidden="1"/>
    <cellStyle name="Hyperlink" xfId="28" builtinId="8" hidden="1"/>
    <cellStyle name="Hyperlink" xfId="70" builtinId="8" hidden="1"/>
    <cellStyle name="Hyperlink" xfId="152" builtinId="8" hidden="1"/>
    <cellStyle name="Hyperlink" xfId="186" builtinId="8" hidden="1"/>
    <cellStyle name="Hyperlink" xfId="32" builtinId="8" hidden="1"/>
    <cellStyle name="Hyperlink" xfId="172" builtinId="8" hidden="1"/>
    <cellStyle name="Hyperlink" xfId="106" builtinId="8" hidden="1"/>
    <cellStyle name="Hyperlink" xfId="88" builtinId="8" hidden="1"/>
    <cellStyle name="Normal" xfId="0" builtinId="0"/>
  </cellStyles>
  <dxfs count="0"/>
  <tableStyles count="0" defaultTableStyle="TableStyleMedium2" defaultPivotStyle="PivotStyleLight16"/>
  <colors>
    <mruColors>
      <color rgb="FFFFFF9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32"/>
  <sheetViews>
    <sheetView tabSelected="1" zoomScale="85" zoomScaleNormal="85" zoomScalePageLayoutView="85" workbookViewId="0">
      <selection activeCell="B5" sqref="B5"/>
    </sheetView>
  </sheetViews>
  <sheetFormatPr defaultColWidth="5.7109375" defaultRowHeight="15"/>
  <cols>
    <col min="1" max="1" width="6.42578125" customWidth="1"/>
    <col min="2" max="2" width="8.42578125" bestFit="1" customWidth="1"/>
    <col min="4" max="4" width="9.42578125" customWidth="1"/>
  </cols>
  <sheetData>
    <row r="1" spans="1:42" s="2" customFormat="1">
      <c r="A1" s="8" t="e">
        <f>B5/2</f>
        <v>#REF!</v>
      </c>
      <c r="B1" s="8">
        <f>C5/2</f>
        <v>0</v>
      </c>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row>
    <row r="2" spans="1:42" s="4" customFormat="1" ht="15" customHeight="1">
      <c r="A2" s="38" t="s">
        <v>0</v>
      </c>
      <c r="B2" s="38"/>
      <c r="C2" s="38"/>
      <c r="D2" s="7">
        <f>SUM(5+B4)</f>
        <v>10</v>
      </c>
      <c r="E2" s="33" t="s">
        <v>1</v>
      </c>
      <c r="F2" s="33"/>
      <c r="G2" s="33"/>
      <c r="H2" s="33"/>
      <c r="I2" s="33"/>
      <c r="J2" s="33"/>
      <c r="K2" s="33"/>
      <c r="L2" s="33"/>
      <c r="M2" s="33"/>
      <c r="N2" s="33"/>
      <c r="O2" s="33" t="s">
        <v>1</v>
      </c>
      <c r="P2" s="33"/>
      <c r="Q2" s="33"/>
      <c r="R2" s="33"/>
      <c r="S2" s="33"/>
      <c r="T2" s="33"/>
      <c r="U2" s="33"/>
      <c r="V2" s="33"/>
      <c r="W2" s="33"/>
      <c r="X2" s="33"/>
    </row>
    <row r="3" spans="1:42" ht="15" customHeight="1">
      <c r="A3" s="1" t="s">
        <v>2</v>
      </c>
      <c r="B3" s="35" t="s">
        <v>3</v>
      </c>
      <c r="C3" s="35"/>
      <c r="D3" s="35"/>
      <c r="E3" s="34" t="str">
        <f>HLOOKUP(E2,FEATS!1:2,2,FALSE)</f>
        <v>None</v>
      </c>
      <c r="F3" s="34"/>
      <c r="G3" s="34"/>
      <c r="H3" s="34"/>
      <c r="I3" s="34"/>
      <c r="J3" s="34"/>
      <c r="K3" s="34"/>
      <c r="L3" s="34"/>
      <c r="M3" s="34"/>
      <c r="N3" s="34"/>
      <c r="O3" s="34" t="str">
        <f>HLOOKUP(O2,FEATS!1:2,2,FALSE)</f>
        <v>None</v>
      </c>
      <c r="P3" s="34"/>
      <c r="Q3" s="34"/>
      <c r="R3" s="34"/>
      <c r="S3" s="34"/>
      <c r="T3" s="34"/>
      <c r="U3" s="34"/>
      <c r="V3" s="34"/>
      <c r="W3" s="34"/>
      <c r="X3" s="34"/>
      <c r="Y3" s="26"/>
      <c r="Z3" s="26"/>
      <c r="AA3" s="26"/>
      <c r="AB3" s="26"/>
      <c r="AC3" s="26"/>
      <c r="AD3" s="26"/>
      <c r="AE3" s="26"/>
      <c r="AF3" s="26"/>
      <c r="AG3" s="26"/>
      <c r="AH3" s="26"/>
      <c r="AI3" s="26"/>
      <c r="AJ3" s="26"/>
      <c r="AK3" s="26"/>
      <c r="AL3" s="26"/>
      <c r="AM3" s="26"/>
      <c r="AN3" s="26"/>
      <c r="AO3" s="26"/>
      <c r="AP3" s="26"/>
    </row>
    <row r="4" spans="1:42" ht="15" customHeight="1">
      <c r="A4" s="1" t="s">
        <v>4</v>
      </c>
      <c r="B4" s="3">
        <v>5</v>
      </c>
      <c r="C4" s="1" t="s">
        <v>5</v>
      </c>
      <c r="D4" s="11" t="e">
        <f>TRANSPOSE(FEATS!C14)</f>
        <v>#REF!</v>
      </c>
      <c r="E4" s="34"/>
      <c r="F4" s="34"/>
      <c r="G4" s="34"/>
      <c r="H4" s="34"/>
      <c r="I4" s="34"/>
      <c r="J4" s="34"/>
      <c r="K4" s="34"/>
      <c r="L4" s="34"/>
      <c r="M4" s="34"/>
      <c r="N4" s="34"/>
      <c r="O4" s="34"/>
      <c r="P4" s="34"/>
      <c r="Q4" s="34"/>
      <c r="R4" s="34"/>
      <c r="S4" s="34"/>
      <c r="T4" s="34"/>
      <c r="U4" s="34"/>
      <c r="V4" s="34"/>
      <c r="W4" s="34"/>
      <c r="X4" s="34"/>
      <c r="Y4" s="26"/>
      <c r="Z4" s="26"/>
      <c r="AA4" s="26"/>
      <c r="AB4" s="26"/>
      <c r="AC4" s="26"/>
      <c r="AD4" s="26"/>
      <c r="AE4" s="26"/>
      <c r="AF4" s="26"/>
      <c r="AG4" s="26"/>
      <c r="AH4" s="26"/>
      <c r="AI4" s="26"/>
      <c r="AJ4" s="26"/>
      <c r="AK4" s="26"/>
      <c r="AL4" s="26"/>
      <c r="AM4" s="26"/>
      <c r="AN4" s="26"/>
      <c r="AO4" s="26"/>
      <c r="AP4" s="26"/>
    </row>
    <row r="5" spans="1:42" ht="15" customHeight="1">
      <c r="A5" s="5" t="s">
        <v>6</v>
      </c>
      <c r="B5" s="8" t="e">
        <f>VLOOKUP(B3,#REF!,2, FALSE)</f>
        <v>#REF!</v>
      </c>
      <c r="C5" s="8">
        <f>HLOOKUP(A10,Math!A32:D38,2,FALSE)</f>
        <v>0</v>
      </c>
      <c r="D5" s="12" t="e">
        <f t="shared" ref="D5:D8" si="0">SUM(B5:C5)</f>
        <v>#REF!</v>
      </c>
      <c r="E5" s="34"/>
      <c r="F5" s="34"/>
      <c r="G5" s="34"/>
      <c r="H5" s="34"/>
      <c r="I5" s="34"/>
      <c r="J5" s="34"/>
      <c r="K5" s="34"/>
      <c r="L5" s="34"/>
      <c r="M5" s="34"/>
      <c r="N5" s="34"/>
      <c r="O5" s="34"/>
      <c r="P5" s="34"/>
      <c r="Q5" s="34"/>
      <c r="R5" s="34"/>
      <c r="S5" s="34"/>
      <c r="T5" s="34"/>
      <c r="U5" s="34"/>
      <c r="V5" s="34"/>
      <c r="W5" s="34"/>
      <c r="X5" s="34"/>
      <c r="Y5" s="26"/>
      <c r="Z5" s="26"/>
      <c r="AA5" s="26"/>
      <c r="AB5" s="26"/>
      <c r="AC5" s="26"/>
      <c r="AD5" s="26"/>
      <c r="AE5" s="26"/>
      <c r="AF5" s="26"/>
      <c r="AG5" s="26"/>
      <c r="AH5" s="26"/>
      <c r="AI5" s="26"/>
      <c r="AJ5" s="26"/>
      <c r="AK5" s="26"/>
      <c r="AL5" s="26"/>
      <c r="AM5" s="26"/>
      <c r="AN5" s="26"/>
      <c r="AO5" s="26"/>
      <c r="AP5" s="26"/>
    </row>
    <row r="6" spans="1:42">
      <c r="A6" s="5" t="s">
        <v>7</v>
      </c>
      <c r="B6" s="8" t="e">
        <f>ROUNDUP(A1,0)</f>
        <v>#REF!</v>
      </c>
      <c r="C6" s="8">
        <f>ROUNDUP(B1,0)</f>
        <v>0</v>
      </c>
      <c r="D6" s="12" t="e">
        <f t="shared" si="0"/>
        <v>#REF!</v>
      </c>
      <c r="E6" s="34"/>
      <c r="F6" s="34"/>
      <c r="G6" s="34"/>
      <c r="H6" s="34"/>
      <c r="I6" s="34"/>
      <c r="J6" s="34"/>
      <c r="K6" s="34"/>
      <c r="L6" s="34"/>
      <c r="M6" s="34"/>
      <c r="N6" s="34"/>
      <c r="O6" s="34"/>
      <c r="P6" s="34"/>
      <c r="Q6" s="34"/>
      <c r="R6" s="34"/>
      <c r="S6" s="34"/>
      <c r="T6" s="34"/>
      <c r="U6" s="34"/>
      <c r="V6" s="34"/>
      <c r="W6" s="34"/>
      <c r="X6" s="34"/>
      <c r="Y6" s="26"/>
      <c r="Z6" s="26"/>
      <c r="AA6" s="26"/>
      <c r="AB6" s="26"/>
      <c r="AC6" s="26"/>
      <c r="AD6" s="26"/>
      <c r="AE6" s="26"/>
      <c r="AF6" s="26"/>
      <c r="AG6" s="26"/>
      <c r="AH6" s="26"/>
      <c r="AI6" s="26"/>
      <c r="AJ6" s="26"/>
      <c r="AK6" s="26"/>
      <c r="AL6" s="26"/>
      <c r="AM6" s="26"/>
      <c r="AN6" s="26"/>
      <c r="AO6" s="26"/>
      <c r="AP6" s="26"/>
    </row>
    <row r="7" spans="1:42">
      <c r="A7" s="6" t="s">
        <v>8</v>
      </c>
      <c r="B7" s="9">
        <f>HLOOKUP(B3,STUFF!1:2,2, TRUE)</f>
        <v>20</v>
      </c>
      <c r="C7" s="9">
        <f>HLOOKUP(A10,Math!A32:D38,3,FALSE)</f>
        <v>0</v>
      </c>
      <c r="D7" s="13">
        <f t="shared" si="0"/>
        <v>20</v>
      </c>
      <c r="E7" s="34"/>
      <c r="F7" s="34"/>
      <c r="G7" s="34"/>
      <c r="H7" s="34"/>
      <c r="I7" s="34"/>
      <c r="J7" s="34"/>
      <c r="K7" s="34"/>
      <c r="L7" s="34"/>
      <c r="M7" s="34"/>
      <c r="N7" s="34"/>
      <c r="O7" s="34"/>
      <c r="P7" s="34"/>
      <c r="Q7" s="34"/>
      <c r="R7" s="34"/>
      <c r="S7" s="34"/>
      <c r="T7" s="34"/>
      <c r="U7" s="34"/>
      <c r="V7" s="34"/>
      <c r="W7" s="34"/>
      <c r="X7" s="34"/>
      <c r="Y7" s="26"/>
      <c r="Z7" s="26"/>
      <c r="AA7" s="26"/>
      <c r="AB7" s="26"/>
      <c r="AC7" s="26"/>
      <c r="AD7" s="26"/>
      <c r="AE7" s="26"/>
      <c r="AF7" s="26"/>
      <c r="AG7" s="26"/>
      <c r="AH7" s="26"/>
      <c r="AI7" s="26"/>
      <c r="AJ7" s="26"/>
      <c r="AK7" s="26"/>
      <c r="AL7" s="26"/>
      <c r="AM7" s="26"/>
      <c r="AN7" s="26"/>
      <c r="AO7" s="26"/>
      <c r="AP7" s="26"/>
    </row>
    <row r="8" spans="1:42" ht="15" customHeight="1">
      <c r="A8" s="6" t="s">
        <v>9</v>
      </c>
      <c r="B8" s="9">
        <f>HLOOKUP(B3,STUFF!3:4,2, TRUE)</f>
        <v>5</v>
      </c>
      <c r="C8" s="10">
        <f>HLOOKUP(A10,Math!A32:D38,4,FALSE)</f>
        <v>0</v>
      </c>
      <c r="D8" s="13">
        <f t="shared" si="0"/>
        <v>5</v>
      </c>
      <c r="E8" s="34"/>
      <c r="F8" s="34"/>
      <c r="G8" s="34"/>
      <c r="H8" s="34"/>
      <c r="I8" s="34"/>
      <c r="J8" s="34"/>
      <c r="K8" s="34"/>
      <c r="L8" s="34"/>
      <c r="M8" s="34"/>
      <c r="N8" s="34"/>
      <c r="O8" s="34"/>
      <c r="P8" s="34"/>
      <c r="Q8" s="34"/>
      <c r="R8" s="34"/>
      <c r="S8" s="34"/>
      <c r="T8" s="34"/>
      <c r="U8" s="34"/>
      <c r="V8" s="34"/>
      <c r="W8" s="34"/>
      <c r="X8" s="34"/>
      <c r="Y8" s="26"/>
      <c r="Z8" s="26"/>
      <c r="AA8" s="26"/>
      <c r="AB8" s="26"/>
      <c r="AC8" s="26"/>
      <c r="AD8" s="26"/>
      <c r="AE8" s="26"/>
      <c r="AF8" s="26"/>
      <c r="AG8" s="26"/>
      <c r="AH8" s="26"/>
      <c r="AI8" s="26"/>
      <c r="AJ8" s="26"/>
      <c r="AK8" s="26"/>
      <c r="AL8" s="26"/>
      <c r="AM8" s="26"/>
      <c r="AN8" s="26"/>
      <c r="AO8" s="26"/>
      <c r="AP8" s="26"/>
    </row>
    <row r="9" spans="1:42">
      <c r="A9" s="6" t="s">
        <v>10</v>
      </c>
      <c r="B9" s="9">
        <f>HLOOKUP(B3,STUFF!5:6,2, TRUE)</f>
        <v>14</v>
      </c>
      <c r="C9" s="10">
        <f>HLOOKUP(A10,Math!A32:D38,6,FALSE)</f>
        <v>0</v>
      </c>
      <c r="D9" s="13">
        <f>SUM(B9:C9)</f>
        <v>14</v>
      </c>
      <c r="E9" s="34"/>
      <c r="F9" s="34"/>
      <c r="G9" s="34"/>
      <c r="H9" s="34"/>
      <c r="I9" s="34"/>
      <c r="J9" s="34"/>
      <c r="K9" s="34"/>
      <c r="L9" s="34"/>
      <c r="M9" s="34"/>
      <c r="N9" s="34"/>
      <c r="O9" s="34"/>
      <c r="P9" s="34"/>
      <c r="Q9" s="34"/>
      <c r="R9" s="34"/>
      <c r="S9" s="34"/>
      <c r="T9" s="34"/>
      <c r="U9" s="34"/>
      <c r="V9" s="34"/>
      <c r="W9" s="34"/>
      <c r="X9" s="34"/>
      <c r="Y9" s="26"/>
      <c r="Z9" s="26"/>
      <c r="AA9" s="26"/>
      <c r="AB9" s="26"/>
      <c r="AC9" s="26"/>
      <c r="AD9" s="26"/>
      <c r="AE9" s="26"/>
      <c r="AF9" s="26"/>
      <c r="AG9" s="26"/>
      <c r="AH9" s="26"/>
      <c r="AI9" s="26"/>
      <c r="AJ9" s="26"/>
      <c r="AK9" s="26"/>
      <c r="AL9" s="26"/>
      <c r="AM9" s="26"/>
      <c r="AN9" s="26"/>
      <c r="AO9" s="26"/>
      <c r="AP9" s="26"/>
    </row>
    <row r="10" spans="1:42">
      <c r="A10" s="36" t="s">
        <v>11</v>
      </c>
      <c r="B10" s="36"/>
      <c r="C10" s="36"/>
      <c r="D10" s="36"/>
      <c r="E10" s="34"/>
      <c r="F10" s="34"/>
      <c r="G10" s="34"/>
      <c r="H10" s="34"/>
      <c r="I10" s="34"/>
      <c r="J10" s="34"/>
      <c r="K10" s="34"/>
      <c r="L10" s="34"/>
      <c r="M10" s="34"/>
      <c r="N10" s="34"/>
      <c r="O10" s="34"/>
      <c r="P10" s="34"/>
      <c r="Q10" s="34"/>
      <c r="R10" s="34"/>
      <c r="S10" s="34"/>
      <c r="T10" s="34"/>
      <c r="U10" s="34"/>
      <c r="V10" s="34"/>
      <c r="W10" s="34"/>
      <c r="X10" s="34"/>
      <c r="Y10" s="26"/>
      <c r="Z10" s="26"/>
      <c r="AA10" s="26"/>
      <c r="AB10" s="26"/>
      <c r="AC10" s="26"/>
      <c r="AD10" s="26"/>
      <c r="AE10" s="26"/>
      <c r="AF10" s="26"/>
      <c r="AG10" s="26"/>
      <c r="AH10" s="26"/>
      <c r="AI10" s="26"/>
      <c r="AJ10" s="26"/>
      <c r="AK10" s="26"/>
      <c r="AL10" s="26"/>
      <c r="AM10" s="26"/>
      <c r="AN10" s="26"/>
      <c r="AO10" s="26"/>
      <c r="AP10" s="26"/>
    </row>
    <row r="11" spans="1:42" ht="15" customHeight="1">
      <c r="A11" s="39"/>
      <c r="B11" s="39"/>
      <c r="C11" s="39"/>
      <c r="D11" s="40"/>
      <c r="E11" s="34"/>
      <c r="F11" s="34"/>
      <c r="G11" s="34"/>
      <c r="H11" s="34"/>
      <c r="I11" s="34"/>
      <c r="J11" s="34"/>
      <c r="K11" s="34"/>
      <c r="L11" s="34"/>
      <c r="M11" s="34"/>
      <c r="N11" s="34"/>
      <c r="O11" s="34"/>
      <c r="P11" s="34"/>
      <c r="Q11" s="34"/>
      <c r="R11" s="34"/>
      <c r="S11" s="34"/>
      <c r="T11" s="34"/>
      <c r="U11" s="34"/>
      <c r="V11" s="34"/>
      <c r="W11" s="34"/>
      <c r="X11" s="34"/>
      <c r="Y11" s="26"/>
      <c r="Z11" s="26"/>
      <c r="AA11" s="26"/>
      <c r="AB11" s="26"/>
      <c r="AC11" s="26"/>
      <c r="AD11" s="26"/>
      <c r="AE11" s="26"/>
      <c r="AF11" s="26"/>
      <c r="AG11" s="26"/>
      <c r="AH11" s="26"/>
      <c r="AI11" s="26"/>
      <c r="AJ11" s="26"/>
      <c r="AK11" s="26"/>
      <c r="AL11" s="26"/>
      <c r="AM11" s="26"/>
      <c r="AN11" s="26"/>
      <c r="AO11" s="26"/>
      <c r="AP11" s="26"/>
    </row>
    <row r="12" spans="1:42" ht="15" customHeight="1">
      <c r="A12" s="41"/>
      <c r="B12" s="41"/>
      <c r="C12" s="41"/>
      <c r="D12" s="42"/>
      <c r="E12" s="33" t="s">
        <v>1</v>
      </c>
      <c r="F12" s="33"/>
      <c r="G12" s="33"/>
      <c r="H12" s="33"/>
      <c r="I12" s="33"/>
      <c r="J12" s="33"/>
      <c r="K12" s="33"/>
      <c r="L12" s="33"/>
      <c r="M12" s="33"/>
      <c r="N12" s="33"/>
      <c r="O12" s="33" t="s">
        <v>1</v>
      </c>
      <c r="P12" s="33"/>
      <c r="Q12" s="33"/>
      <c r="R12" s="33"/>
      <c r="S12" s="33"/>
      <c r="T12" s="33"/>
      <c r="U12" s="33"/>
      <c r="V12" s="33"/>
      <c r="W12" s="33"/>
      <c r="X12" s="33"/>
      <c r="Y12" s="26"/>
      <c r="Z12" s="26"/>
      <c r="AA12" s="26"/>
      <c r="AB12" s="26"/>
      <c r="AC12" s="26"/>
      <c r="AD12" s="26"/>
      <c r="AE12" s="26"/>
      <c r="AF12" s="26"/>
      <c r="AG12" s="26"/>
      <c r="AH12" s="26"/>
      <c r="AI12" s="26"/>
      <c r="AJ12" s="26"/>
      <c r="AK12" s="26"/>
      <c r="AL12" s="26"/>
      <c r="AM12" s="26"/>
      <c r="AN12" s="26"/>
      <c r="AO12" s="26"/>
      <c r="AP12" s="26"/>
    </row>
    <row r="13" spans="1:42" ht="15" customHeight="1">
      <c r="A13" s="41"/>
      <c r="B13" s="41"/>
      <c r="C13" s="41"/>
      <c r="D13" s="42"/>
      <c r="E13" s="34" t="str">
        <f>HLOOKUP(E12,FEATS!1:2,2,FALSE)</f>
        <v>None</v>
      </c>
      <c r="F13" s="34"/>
      <c r="G13" s="34"/>
      <c r="H13" s="34"/>
      <c r="I13" s="34"/>
      <c r="J13" s="34"/>
      <c r="K13" s="34"/>
      <c r="L13" s="34"/>
      <c r="M13" s="34"/>
      <c r="N13" s="34"/>
      <c r="O13" s="34" t="str">
        <f>HLOOKUP(O12,FEATS!1:2,2,FALSE)</f>
        <v>None</v>
      </c>
      <c r="P13" s="34"/>
      <c r="Q13" s="34"/>
      <c r="R13" s="34"/>
      <c r="S13" s="34"/>
      <c r="T13" s="34"/>
      <c r="U13" s="34"/>
      <c r="V13" s="34"/>
      <c r="W13" s="34"/>
      <c r="X13" s="34"/>
      <c r="Y13" s="26"/>
      <c r="Z13" s="26"/>
      <c r="AA13" s="26"/>
      <c r="AB13" s="26"/>
      <c r="AC13" s="26"/>
      <c r="AD13" s="26"/>
      <c r="AE13" s="26"/>
      <c r="AF13" s="26"/>
      <c r="AG13" s="26"/>
      <c r="AH13" s="26"/>
      <c r="AI13" s="26"/>
      <c r="AJ13" s="26"/>
      <c r="AK13" s="26"/>
      <c r="AL13" s="26"/>
      <c r="AM13" s="26"/>
      <c r="AN13" s="26"/>
      <c r="AO13" s="26"/>
      <c r="AP13" s="26"/>
    </row>
    <row r="14" spans="1:42" ht="15" customHeight="1">
      <c r="A14" s="41"/>
      <c r="B14" s="41"/>
      <c r="C14" s="41"/>
      <c r="D14" s="42"/>
      <c r="E14" s="34"/>
      <c r="F14" s="34"/>
      <c r="G14" s="34"/>
      <c r="H14" s="34"/>
      <c r="I14" s="34"/>
      <c r="J14" s="34"/>
      <c r="K14" s="34"/>
      <c r="L14" s="34"/>
      <c r="M14" s="34"/>
      <c r="N14" s="34"/>
      <c r="O14" s="34"/>
      <c r="P14" s="34"/>
      <c r="Q14" s="34"/>
      <c r="R14" s="34"/>
      <c r="S14" s="34"/>
      <c r="T14" s="34"/>
      <c r="U14" s="34"/>
      <c r="V14" s="34"/>
      <c r="W14" s="34"/>
      <c r="X14" s="34"/>
      <c r="Y14" s="26"/>
      <c r="Z14" s="26"/>
      <c r="AA14" s="26"/>
      <c r="AB14" s="26"/>
      <c r="AC14" s="26"/>
      <c r="AD14" s="26"/>
      <c r="AE14" s="26"/>
      <c r="AF14" s="26"/>
      <c r="AG14" s="26"/>
      <c r="AH14" s="26"/>
      <c r="AI14" s="26"/>
      <c r="AJ14" s="26"/>
      <c r="AK14" s="26"/>
      <c r="AL14" s="26"/>
      <c r="AM14" s="26"/>
      <c r="AN14" s="26"/>
      <c r="AO14" s="26"/>
      <c r="AP14" s="26"/>
    </row>
    <row r="15" spans="1:42" ht="15" customHeight="1">
      <c r="A15" s="41"/>
      <c r="B15" s="41"/>
      <c r="C15" s="41"/>
      <c r="D15" s="42"/>
      <c r="E15" s="34"/>
      <c r="F15" s="34"/>
      <c r="G15" s="34"/>
      <c r="H15" s="34"/>
      <c r="I15" s="34"/>
      <c r="J15" s="34"/>
      <c r="K15" s="34"/>
      <c r="L15" s="34"/>
      <c r="M15" s="34"/>
      <c r="N15" s="34"/>
      <c r="O15" s="34"/>
      <c r="P15" s="34"/>
      <c r="Q15" s="34"/>
      <c r="R15" s="34"/>
      <c r="S15" s="34"/>
      <c r="T15" s="34"/>
      <c r="U15" s="34"/>
      <c r="V15" s="34"/>
      <c r="W15" s="34"/>
      <c r="X15" s="34"/>
      <c r="Y15" s="26"/>
      <c r="Z15" s="26"/>
      <c r="AA15" s="26"/>
      <c r="AB15" s="26"/>
      <c r="AC15" s="26"/>
      <c r="AD15" s="26"/>
      <c r="AE15" s="26"/>
      <c r="AF15" s="26"/>
      <c r="AG15" s="26"/>
      <c r="AH15" s="26"/>
      <c r="AI15" s="26"/>
      <c r="AJ15" s="26"/>
      <c r="AK15" s="26"/>
      <c r="AL15" s="26"/>
      <c r="AM15" s="26"/>
      <c r="AN15" s="26"/>
      <c r="AO15" s="26"/>
      <c r="AP15" s="26"/>
    </row>
    <row r="16" spans="1:42" ht="15" customHeight="1">
      <c r="A16" s="41"/>
      <c r="B16" s="41"/>
      <c r="C16" s="41"/>
      <c r="D16" s="42"/>
      <c r="E16" s="34"/>
      <c r="F16" s="34"/>
      <c r="G16" s="34"/>
      <c r="H16" s="34"/>
      <c r="I16" s="34"/>
      <c r="J16" s="34"/>
      <c r="K16" s="34"/>
      <c r="L16" s="34"/>
      <c r="M16" s="34"/>
      <c r="N16" s="34"/>
      <c r="O16" s="34"/>
      <c r="P16" s="34"/>
      <c r="Q16" s="34"/>
      <c r="R16" s="34"/>
      <c r="S16" s="34"/>
      <c r="T16" s="34"/>
      <c r="U16" s="34"/>
      <c r="V16" s="34"/>
      <c r="W16" s="34"/>
      <c r="X16" s="34"/>
      <c r="Y16" s="26"/>
      <c r="Z16" s="26"/>
      <c r="AA16" s="26"/>
      <c r="AB16" s="26"/>
      <c r="AC16" s="26"/>
      <c r="AD16" s="26"/>
      <c r="AE16" s="26"/>
      <c r="AF16" s="26"/>
      <c r="AG16" s="26"/>
      <c r="AH16" s="26"/>
      <c r="AI16" s="26"/>
      <c r="AJ16" s="26"/>
      <c r="AK16" s="26"/>
      <c r="AL16" s="26"/>
      <c r="AM16" s="26"/>
      <c r="AN16" s="26"/>
      <c r="AO16" s="26"/>
      <c r="AP16" s="26"/>
    </row>
    <row r="17" spans="1:42" ht="15" customHeight="1">
      <c r="A17" s="41"/>
      <c r="B17" s="41"/>
      <c r="C17" s="41"/>
      <c r="D17" s="42"/>
      <c r="E17" s="34"/>
      <c r="F17" s="34"/>
      <c r="G17" s="34"/>
      <c r="H17" s="34"/>
      <c r="I17" s="34"/>
      <c r="J17" s="34"/>
      <c r="K17" s="34"/>
      <c r="L17" s="34"/>
      <c r="M17" s="34"/>
      <c r="N17" s="34"/>
      <c r="O17" s="34"/>
      <c r="P17" s="34"/>
      <c r="Q17" s="34"/>
      <c r="R17" s="34"/>
      <c r="S17" s="34"/>
      <c r="T17" s="34"/>
      <c r="U17" s="34"/>
      <c r="V17" s="34"/>
      <c r="W17" s="34"/>
      <c r="X17" s="34"/>
      <c r="Y17" s="26"/>
      <c r="Z17" s="26"/>
      <c r="AA17" s="26"/>
      <c r="AB17" s="26"/>
      <c r="AC17" s="26"/>
      <c r="AD17" s="26"/>
      <c r="AE17" s="26"/>
      <c r="AF17" s="26"/>
      <c r="AG17" s="26"/>
      <c r="AH17" s="26"/>
      <c r="AI17" s="26"/>
      <c r="AJ17" s="26"/>
      <c r="AK17" s="26"/>
      <c r="AL17" s="26"/>
      <c r="AM17" s="26"/>
      <c r="AN17" s="26"/>
      <c r="AO17" s="26"/>
      <c r="AP17" s="26"/>
    </row>
    <row r="18" spans="1:42" ht="15" customHeight="1">
      <c r="A18" s="41"/>
      <c r="B18" s="41"/>
      <c r="C18" s="41"/>
      <c r="D18" s="42"/>
      <c r="E18" s="34"/>
      <c r="F18" s="34"/>
      <c r="G18" s="34"/>
      <c r="H18" s="34"/>
      <c r="I18" s="34"/>
      <c r="J18" s="34"/>
      <c r="K18" s="34"/>
      <c r="L18" s="34"/>
      <c r="M18" s="34"/>
      <c r="N18" s="34"/>
      <c r="O18" s="34"/>
      <c r="P18" s="34"/>
      <c r="Q18" s="34"/>
      <c r="R18" s="34"/>
      <c r="S18" s="34"/>
      <c r="T18" s="34"/>
      <c r="U18" s="34"/>
      <c r="V18" s="34"/>
      <c r="W18" s="34"/>
      <c r="X18" s="34"/>
      <c r="Y18" s="26"/>
      <c r="Z18" s="26"/>
      <c r="AA18" s="26"/>
      <c r="AB18" s="26"/>
      <c r="AC18" s="26"/>
      <c r="AD18" s="26"/>
      <c r="AE18" s="26"/>
      <c r="AF18" s="26"/>
      <c r="AG18" s="26"/>
      <c r="AH18" s="26"/>
      <c r="AI18" s="26"/>
      <c r="AJ18" s="26"/>
      <c r="AK18" s="26"/>
      <c r="AL18" s="26"/>
      <c r="AM18" s="26"/>
      <c r="AN18" s="26"/>
      <c r="AO18" s="26"/>
      <c r="AP18" s="26"/>
    </row>
    <row r="19" spans="1:42" ht="15" customHeight="1">
      <c r="A19" s="41"/>
      <c r="B19" s="41"/>
      <c r="C19" s="41"/>
      <c r="D19" s="42"/>
      <c r="E19" s="34"/>
      <c r="F19" s="34"/>
      <c r="G19" s="34"/>
      <c r="H19" s="34"/>
      <c r="I19" s="34"/>
      <c r="J19" s="34"/>
      <c r="K19" s="34"/>
      <c r="L19" s="34"/>
      <c r="M19" s="34"/>
      <c r="N19" s="34"/>
      <c r="O19" s="34"/>
      <c r="P19" s="34"/>
      <c r="Q19" s="34"/>
      <c r="R19" s="34"/>
      <c r="S19" s="34"/>
      <c r="T19" s="34"/>
      <c r="U19" s="34"/>
      <c r="V19" s="34"/>
      <c r="W19" s="34"/>
      <c r="X19" s="34"/>
      <c r="Y19" s="26"/>
      <c r="Z19" s="26"/>
      <c r="AA19" s="26"/>
      <c r="AB19" s="26"/>
      <c r="AC19" s="26"/>
      <c r="AD19" s="26"/>
      <c r="AE19" s="26"/>
      <c r="AF19" s="26"/>
      <c r="AG19" s="26"/>
      <c r="AH19" s="26"/>
      <c r="AI19" s="26"/>
      <c r="AJ19" s="26"/>
      <c r="AK19" s="26"/>
      <c r="AL19" s="26"/>
      <c r="AM19" s="26"/>
      <c r="AN19" s="26"/>
      <c r="AO19" s="26"/>
      <c r="AP19" s="26"/>
    </row>
    <row r="20" spans="1:42" ht="15" customHeight="1">
      <c r="A20" s="41"/>
      <c r="B20" s="41"/>
      <c r="C20" s="41"/>
      <c r="D20" s="42"/>
      <c r="E20" s="34"/>
      <c r="F20" s="34"/>
      <c r="G20" s="34"/>
      <c r="H20" s="34"/>
      <c r="I20" s="34"/>
      <c r="J20" s="34"/>
      <c r="K20" s="34"/>
      <c r="L20" s="34"/>
      <c r="M20" s="34"/>
      <c r="N20" s="34"/>
      <c r="O20" s="34"/>
      <c r="P20" s="34"/>
      <c r="Q20" s="34"/>
      <c r="R20" s="34"/>
      <c r="S20" s="34"/>
      <c r="T20" s="34"/>
      <c r="U20" s="34"/>
      <c r="V20" s="34"/>
      <c r="W20" s="34"/>
      <c r="X20" s="34"/>
      <c r="Y20" s="26"/>
      <c r="Z20" s="26"/>
      <c r="AA20" s="26"/>
      <c r="AB20" s="26"/>
      <c r="AC20" s="26"/>
      <c r="AD20" s="26"/>
      <c r="AE20" s="26"/>
      <c r="AF20" s="26"/>
      <c r="AG20" s="26"/>
      <c r="AH20" s="26"/>
      <c r="AI20" s="26"/>
      <c r="AJ20" s="26"/>
      <c r="AK20" s="26"/>
      <c r="AL20" s="26"/>
      <c r="AM20" s="26"/>
      <c r="AN20" s="26"/>
      <c r="AO20" s="26"/>
      <c r="AP20" s="26"/>
    </row>
    <row r="21" spans="1:42" ht="15" customHeight="1">
      <c r="A21" s="41"/>
      <c r="B21" s="41"/>
      <c r="C21" s="41"/>
      <c r="D21" s="42"/>
      <c r="E21" s="34"/>
      <c r="F21" s="34"/>
      <c r="G21" s="34"/>
      <c r="H21" s="34"/>
      <c r="I21" s="34"/>
      <c r="J21" s="34"/>
      <c r="K21" s="34"/>
      <c r="L21" s="34"/>
      <c r="M21" s="34"/>
      <c r="N21" s="34"/>
      <c r="O21" s="34"/>
      <c r="P21" s="34"/>
      <c r="Q21" s="34"/>
      <c r="R21" s="34"/>
      <c r="S21" s="34"/>
      <c r="T21" s="34"/>
      <c r="U21" s="34"/>
      <c r="V21" s="34"/>
      <c r="W21" s="34"/>
      <c r="X21" s="34"/>
      <c r="Y21" s="26"/>
      <c r="Z21" s="26"/>
      <c r="AA21" s="26"/>
      <c r="AB21" s="26"/>
      <c r="AC21" s="26"/>
      <c r="AD21" s="26"/>
      <c r="AE21" s="26"/>
      <c r="AF21" s="26"/>
      <c r="AG21" s="26"/>
      <c r="AH21" s="26"/>
      <c r="AI21" s="26"/>
      <c r="AJ21" s="26"/>
      <c r="AK21" s="26"/>
      <c r="AL21" s="26"/>
      <c r="AM21" s="26"/>
      <c r="AN21" s="26"/>
      <c r="AO21" s="26"/>
      <c r="AP21" s="26"/>
    </row>
    <row r="22" spans="1:42" ht="15" customHeight="1">
      <c r="A22" s="41"/>
      <c r="B22" s="41"/>
      <c r="C22" s="41"/>
      <c r="D22" s="42"/>
      <c r="E22" s="33" t="s">
        <v>1</v>
      </c>
      <c r="F22" s="33"/>
      <c r="G22" s="33"/>
      <c r="H22" s="33"/>
      <c r="I22" s="33"/>
      <c r="J22" s="33"/>
      <c r="K22" s="33"/>
      <c r="L22" s="33"/>
      <c r="M22" s="33"/>
      <c r="N22" s="33"/>
      <c r="O22" s="33" t="s">
        <v>1</v>
      </c>
      <c r="P22" s="33"/>
      <c r="Q22" s="33"/>
      <c r="R22" s="33"/>
      <c r="S22" s="33"/>
      <c r="T22" s="33"/>
      <c r="U22" s="33"/>
      <c r="V22" s="33"/>
      <c r="W22" s="33"/>
      <c r="X22" s="33"/>
      <c r="Y22" s="26"/>
      <c r="Z22" s="26"/>
      <c r="AA22" s="26"/>
      <c r="AB22" s="26"/>
      <c r="AC22" s="26"/>
      <c r="AD22" s="26"/>
      <c r="AE22" s="26"/>
      <c r="AF22" s="26"/>
      <c r="AG22" s="26"/>
      <c r="AH22" s="26"/>
      <c r="AI22" s="26"/>
      <c r="AJ22" s="26"/>
      <c r="AK22" s="26"/>
      <c r="AL22" s="26"/>
      <c r="AM22" s="26"/>
      <c r="AN22" s="26"/>
      <c r="AO22" s="26"/>
      <c r="AP22" s="26"/>
    </row>
    <row r="23" spans="1:42" ht="15" customHeight="1">
      <c r="A23" s="41"/>
      <c r="B23" s="41"/>
      <c r="C23" s="41"/>
      <c r="D23" s="42"/>
      <c r="E23" s="34" t="str">
        <f>HLOOKUP(E22,FEATS!1:2,2,FALSE)</f>
        <v>None</v>
      </c>
      <c r="F23" s="34"/>
      <c r="G23" s="34"/>
      <c r="H23" s="34"/>
      <c r="I23" s="34"/>
      <c r="J23" s="34"/>
      <c r="K23" s="34"/>
      <c r="L23" s="34"/>
      <c r="M23" s="34"/>
      <c r="N23" s="34"/>
      <c r="O23" s="34" t="str">
        <f>HLOOKUP(O22,FEATS!1:2,2,FALSE)</f>
        <v>None</v>
      </c>
      <c r="P23" s="34"/>
      <c r="Q23" s="34"/>
      <c r="R23" s="34"/>
      <c r="S23" s="34"/>
      <c r="T23" s="34"/>
      <c r="U23" s="34"/>
      <c r="V23" s="34"/>
      <c r="W23" s="34"/>
      <c r="X23" s="34"/>
      <c r="Y23" s="26"/>
      <c r="Z23" s="26"/>
      <c r="AA23" s="26"/>
      <c r="AB23" s="26"/>
      <c r="AC23" s="26"/>
      <c r="AD23" s="26"/>
      <c r="AE23" s="26"/>
      <c r="AF23" s="26"/>
      <c r="AG23" s="26"/>
      <c r="AH23" s="26"/>
      <c r="AI23" s="26"/>
      <c r="AJ23" s="26"/>
      <c r="AK23" s="26"/>
      <c r="AL23" s="26"/>
      <c r="AM23" s="26"/>
      <c r="AN23" s="26"/>
      <c r="AO23" s="26"/>
      <c r="AP23" s="26"/>
    </row>
    <row r="24" spans="1:42" ht="15" customHeight="1">
      <c r="A24" s="41"/>
      <c r="B24" s="41"/>
      <c r="C24" s="41"/>
      <c r="D24" s="42"/>
      <c r="E24" s="34"/>
      <c r="F24" s="34"/>
      <c r="G24" s="34"/>
      <c r="H24" s="34"/>
      <c r="I24" s="34"/>
      <c r="J24" s="34"/>
      <c r="K24" s="34"/>
      <c r="L24" s="34"/>
      <c r="M24" s="34"/>
      <c r="N24" s="34"/>
      <c r="O24" s="34"/>
      <c r="P24" s="34"/>
      <c r="Q24" s="34"/>
      <c r="R24" s="34"/>
      <c r="S24" s="34"/>
      <c r="T24" s="34"/>
      <c r="U24" s="34"/>
      <c r="V24" s="34"/>
      <c r="W24" s="34"/>
      <c r="X24" s="34"/>
      <c r="Y24" s="26"/>
      <c r="Z24" s="26"/>
      <c r="AA24" s="26"/>
      <c r="AB24" s="26"/>
      <c r="AC24" s="26"/>
      <c r="AD24" s="26"/>
      <c r="AE24" s="26"/>
      <c r="AF24" s="26"/>
      <c r="AG24" s="26"/>
      <c r="AH24" s="26"/>
      <c r="AI24" s="26"/>
      <c r="AJ24" s="26"/>
      <c r="AK24" s="26"/>
      <c r="AL24" s="26"/>
      <c r="AM24" s="26"/>
      <c r="AN24" s="26"/>
      <c r="AO24" s="26"/>
      <c r="AP24" s="26"/>
    </row>
    <row r="25" spans="1:42" ht="15" customHeight="1">
      <c r="A25" s="41"/>
      <c r="B25" s="41"/>
      <c r="C25" s="41"/>
      <c r="D25" s="42"/>
      <c r="E25" s="34"/>
      <c r="F25" s="34"/>
      <c r="G25" s="34"/>
      <c r="H25" s="34"/>
      <c r="I25" s="34"/>
      <c r="J25" s="34"/>
      <c r="K25" s="34"/>
      <c r="L25" s="34"/>
      <c r="M25" s="34"/>
      <c r="N25" s="34"/>
      <c r="O25" s="34"/>
      <c r="P25" s="34"/>
      <c r="Q25" s="34"/>
      <c r="R25" s="34"/>
      <c r="S25" s="34"/>
      <c r="T25" s="34"/>
      <c r="U25" s="34"/>
      <c r="V25" s="34"/>
      <c r="W25" s="34"/>
      <c r="X25" s="34"/>
      <c r="Y25" s="26"/>
      <c r="Z25" s="26"/>
      <c r="AA25" s="26"/>
      <c r="AB25" s="26"/>
      <c r="AC25" s="26"/>
      <c r="AD25" s="26"/>
      <c r="AE25" s="26"/>
      <c r="AF25" s="26"/>
      <c r="AG25" s="26"/>
      <c r="AH25" s="26"/>
      <c r="AI25" s="26"/>
      <c r="AJ25" s="26"/>
      <c r="AK25" s="26"/>
      <c r="AL25" s="26"/>
      <c r="AM25" s="26"/>
      <c r="AN25" s="26"/>
      <c r="AO25" s="26"/>
      <c r="AP25" s="26"/>
    </row>
    <row r="26" spans="1:42" ht="15" customHeight="1">
      <c r="A26" s="41"/>
      <c r="B26" s="41"/>
      <c r="C26" s="41"/>
      <c r="D26" s="42"/>
      <c r="E26" s="34"/>
      <c r="F26" s="34"/>
      <c r="G26" s="34"/>
      <c r="H26" s="34"/>
      <c r="I26" s="34"/>
      <c r="J26" s="34"/>
      <c r="K26" s="34"/>
      <c r="L26" s="34"/>
      <c r="M26" s="34"/>
      <c r="N26" s="34"/>
      <c r="O26" s="34"/>
      <c r="P26" s="34"/>
      <c r="Q26" s="34"/>
      <c r="R26" s="34"/>
      <c r="S26" s="34"/>
      <c r="T26" s="34"/>
      <c r="U26" s="34"/>
      <c r="V26" s="34"/>
      <c r="W26" s="34"/>
      <c r="X26" s="34"/>
      <c r="Y26" s="26"/>
      <c r="Z26" s="26"/>
      <c r="AA26" s="26"/>
      <c r="AB26" s="26"/>
      <c r="AC26" s="26"/>
      <c r="AD26" s="26"/>
      <c r="AE26" s="26"/>
      <c r="AF26" s="26"/>
      <c r="AG26" s="26"/>
      <c r="AH26" s="26"/>
      <c r="AI26" s="26"/>
      <c r="AJ26" s="26"/>
      <c r="AK26" s="26"/>
      <c r="AL26" s="26"/>
      <c r="AM26" s="26"/>
      <c r="AN26" s="26"/>
      <c r="AO26" s="26"/>
      <c r="AP26" s="26"/>
    </row>
    <row r="27" spans="1:42" ht="15" customHeight="1">
      <c r="A27" s="41"/>
      <c r="B27" s="41"/>
      <c r="C27" s="41"/>
      <c r="D27" s="42"/>
      <c r="E27" s="34"/>
      <c r="F27" s="34"/>
      <c r="G27" s="34"/>
      <c r="H27" s="34"/>
      <c r="I27" s="34"/>
      <c r="J27" s="34"/>
      <c r="K27" s="34"/>
      <c r="L27" s="34"/>
      <c r="M27" s="34"/>
      <c r="N27" s="34"/>
      <c r="O27" s="34"/>
      <c r="P27" s="34"/>
      <c r="Q27" s="34"/>
      <c r="R27" s="34"/>
      <c r="S27" s="34"/>
      <c r="T27" s="34"/>
      <c r="U27" s="34"/>
      <c r="V27" s="34"/>
      <c r="W27" s="34"/>
      <c r="X27" s="34"/>
      <c r="Y27" s="26"/>
      <c r="Z27" s="26"/>
      <c r="AA27" s="26"/>
      <c r="AB27" s="26"/>
      <c r="AC27" s="26"/>
      <c r="AD27" s="26"/>
      <c r="AE27" s="26"/>
      <c r="AF27" s="26"/>
      <c r="AG27" s="26"/>
      <c r="AH27" s="26"/>
      <c r="AI27" s="26"/>
      <c r="AJ27" s="26"/>
      <c r="AK27" s="26"/>
      <c r="AL27" s="26"/>
      <c r="AM27" s="26"/>
      <c r="AN27" s="26"/>
      <c r="AO27" s="26"/>
      <c r="AP27" s="26"/>
    </row>
    <row r="28" spans="1:42" ht="15" customHeight="1">
      <c r="A28" s="41"/>
      <c r="B28" s="41"/>
      <c r="C28" s="41"/>
      <c r="D28" s="42"/>
      <c r="E28" s="34"/>
      <c r="F28" s="34"/>
      <c r="G28" s="34"/>
      <c r="H28" s="34"/>
      <c r="I28" s="34"/>
      <c r="J28" s="34"/>
      <c r="K28" s="34"/>
      <c r="L28" s="34"/>
      <c r="M28" s="34"/>
      <c r="N28" s="34"/>
      <c r="O28" s="34"/>
      <c r="P28" s="34"/>
      <c r="Q28" s="34"/>
      <c r="R28" s="34"/>
      <c r="S28" s="34"/>
      <c r="T28" s="34"/>
      <c r="U28" s="34"/>
      <c r="V28" s="34"/>
      <c r="W28" s="34"/>
      <c r="X28" s="34"/>
      <c r="Y28" s="26"/>
      <c r="Z28" s="26"/>
      <c r="AA28" s="26"/>
      <c r="AB28" s="26"/>
      <c r="AC28" s="26"/>
      <c r="AD28" s="26"/>
      <c r="AE28" s="26"/>
      <c r="AF28" s="26"/>
      <c r="AG28" s="26"/>
      <c r="AH28" s="26"/>
      <c r="AI28" s="26"/>
      <c r="AJ28" s="26"/>
      <c r="AK28" s="26"/>
      <c r="AL28" s="26"/>
      <c r="AM28" s="26"/>
      <c r="AN28" s="26"/>
      <c r="AO28" s="26"/>
      <c r="AP28" s="26"/>
    </row>
    <row r="29" spans="1:42" ht="15" customHeight="1">
      <c r="A29" s="43"/>
      <c r="B29" s="43"/>
      <c r="C29" s="43"/>
      <c r="D29" s="44"/>
      <c r="E29" s="34"/>
      <c r="F29" s="34"/>
      <c r="G29" s="34"/>
      <c r="H29" s="34"/>
      <c r="I29" s="34"/>
      <c r="J29" s="34"/>
      <c r="K29" s="34"/>
      <c r="L29" s="34"/>
      <c r="M29" s="34"/>
      <c r="N29" s="34"/>
      <c r="O29" s="34"/>
      <c r="P29" s="34"/>
      <c r="Q29" s="34"/>
      <c r="R29" s="34"/>
      <c r="S29" s="34"/>
      <c r="T29" s="34"/>
      <c r="U29" s="34"/>
      <c r="V29" s="34"/>
      <c r="W29" s="34"/>
      <c r="X29" s="34"/>
      <c r="Y29" s="26"/>
      <c r="Z29" s="26"/>
      <c r="AA29" s="26"/>
      <c r="AB29" s="26"/>
      <c r="AC29" s="26"/>
      <c r="AD29" s="26"/>
      <c r="AE29" s="26"/>
      <c r="AF29" s="26"/>
      <c r="AG29" s="26"/>
      <c r="AH29" s="26"/>
      <c r="AI29" s="26"/>
      <c r="AJ29" s="26"/>
      <c r="AK29" s="26"/>
      <c r="AL29" s="26"/>
      <c r="AM29" s="26"/>
      <c r="AN29" s="26"/>
      <c r="AO29" s="26"/>
      <c r="AP29" s="26"/>
    </row>
    <row r="30" spans="1:42">
      <c r="A30" s="37" t="s">
        <v>12</v>
      </c>
      <c r="B30" s="37"/>
      <c r="C30" s="37"/>
      <c r="D30" s="37"/>
      <c r="E30" s="34"/>
      <c r="F30" s="34"/>
      <c r="G30" s="34"/>
      <c r="H30" s="34"/>
      <c r="I30" s="34"/>
      <c r="J30" s="34"/>
      <c r="K30" s="34"/>
      <c r="L30" s="34"/>
      <c r="M30" s="34"/>
      <c r="N30" s="34"/>
      <c r="O30" s="34"/>
      <c r="P30" s="34"/>
      <c r="Q30" s="34"/>
      <c r="R30" s="34"/>
      <c r="S30" s="34"/>
      <c r="T30" s="34"/>
      <c r="U30" s="34"/>
      <c r="V30" s="34"/>
      <c r="W30" s="34"/>
      <c r="X30" s="34"/>
      <c r="Y30" s="26"/>
      <c r="Z30" s="26"/>
      <c r="AA30" s="26"/>
      <c r="AB30" s="26"/>
      <c r="AC30" s="26"/>
      <c r="AD30" s="26"/>
      <c r="AE30" s="26"/>
      <c r="AF30" s="26"/>
      <c r="AG30" s="26"/>
      <c r="AH30" s="26"/>
      <c r="AI30" s="26"/>
      <c r="AJ30" s="26"/>
      <c r="AK30" s="26"/>
      <c r="AL30" s="26"/>
      <c r="AM30" s="26"/>
      <c r="AN30" s="26"/>
      <c r="AO30" s="26"/>
      <c r="AP30" s="26"/>
    </row>
    <row r="31" spans="1:42">
      <c r="A31" s="37"/>
      <c r="B31" s="37"/>
      <c r="C31" s="37"/>
      <c r="D31" s="37"/>
      <c r="E31" s="34"/>
      <c r="F31" s="34"/>
      <c r="G31" s="34"/>
      <c r="H31" s="34"/>
      <c r="I31" s="34"/>
      <c r="J31" s="34"/>
      <c r="K31" s="34"/>
      <c r="L31" s="34"/>
      <c r="M31" s="34"/>
      <c r="N31" s="34"/>
      <c r="O31" s="34"/>
      <c r="P31" s="34"/>
      <c r="Q31" s="34"/>
      <c r="R31" s="34"/>
      <c r="S31" s="34"/>
      <c r="T31" s="34"/>
      <c r="U31" s="34"/>
      <c r="V31" s="34"/>
      <c r="W31" s="34"/>
      <c r="X31" s="34"/>
      <c r="Y31" s="26"/>
      <c r="Z31" s="26"/>
      <c r="AA31" s="26"/>
      <c r="AB31" s="26"/>
      <c r="AC31" s="26"/>
      <c r="AD31" s="26"/>
      <c r="AE31" s="26"/>
      <c r="AF31" s="26"/>
      <c r="AG31" s="26"/>
      <c r="AH31" s="26"/>
      <c r="AI31" s="26"/>
      <c r="AJ31" s="26"/>
      <c r="AK31" s="26"/>
      <c r="AL31" s="26"/>
      <c r="AM31" s="26"/>
      <c r="AN31" s="26"/>
      <c r="AO31" s="26"/>
      <c r="AP31" s="26"/>
    </row>
    <row r="32" spans="1:42">
      <c r="A32" s="26"/>
      <c r="B32" s="26"/>
      <c r="C32" s="26"/>
      <c r="D32" s="26"/>
      <c r="E32" s="33" t="s">
        <v>1</v>
      </c>
      <c r="F32" s="33"/>
      <c r="G32" s="33"/>
      <c r="H32" s="33"/>
      <c r="I32" s="33"/>
      <c r="J32" s="33"/>
      <c r="K32" s="33"/>
      <c r="L32" s="33"/>
      <c r="M32" s="33"/>
      <c r="N32" s="33"/>
      <c r="O32" s="33" t="s">
        <v>1</v>
      </c>
      <c r="P32" s="33"/>
      <c r="Q32" s="33"/>
      <c r="R32" s="33"/>
      <c r="S32" s="33"/>
      <c r="T32" s="33"/>
      <c r="U32" s="33"/>
      <c r="V32" s="33"/>
      <c r="W32" s="33"/>
      <c r="X32" s="33"/>
      <c r="Y32" s="26"/>
      <c r="Z32" s="26"/>
      <c r="AA32" s="26"/>
      <c r="AB32" s="26"/>
      <c r="AC32" s="26"/>
      <c r="AD32" s="26"/>
      <c r="AE32" s="26"/>
      <c r="AF32" s="26"/>
      <c r="AG32" s="26"/>
      <c r="AH32" s="26"/>
      <c r="AI32" s="26"/>
      <c r="AJ32" s="26"/>
      <c r="AK32" s="26"/>
      <c r="AL32" s="31" t="s">
        <v>13</v>
      </c>
      <c r="AM32" s="31"/>
      <c r="AN32" s="31"/>
      <c r="AO32" s="31"/>
      <c r="AP32" s="31"/>
    </row>
    <row r="33" spans="5:42">
      <c r="E33" s="34" t="str">
        <f>HLOOKUP(E32,FEATS!1:2,2,FALSE)</f>
        <v>None</v>
      </c>
      <c r="F33" s="34"/>
      <c r="G33" s="34"/>
      <c r="H33" s="34"/>
      <c r="I33" s="34"/>
      <c r="J33" s="34"/>
      <c r="K33" s="34"/>
      <c r="L33" s="34"/>
      <c r="M33" s="34"/>
      <c r="N33" s="34"/>
      <c r="O33" s="34" t="str">
        <f>HLOOKUP(O32,FEATS!1:2,2,FALSE)</f>
        <v>None</v>
      </c>
      <c r="P33" s="34"/>
      <c r="Q33" s="34"/>
      <c r="R33" s="34"/>
      <c r="S33" s="34"/>
      <c r="T33" s="34"/>
      <c r="U33" s="34"/>
      <c r="V33" s="34"/>
      <c r="W33" s="34"/>
      <c r="X33" s="34"/>
      <c r="Y33" s="26"/>
      <c r="Z33" s="26"/>
      <c r="AA33" s="26"/>
      <c r="AB33" s="26"/>
      <c r="AC33" s="26"/>
      <c r="AD33" s="26"/>
      <c r="AE33" s="26"/>
      <c r="AF33" s="26"/>
      <c r="AG33" s="26"/>
      <c r="AH33" s="26"/>
      <c r="AI33" s="26"/>
      <c r="AJ33" s="26"/>
      <c r="AK33" s="26"/>
      <c r="AL33" s="32"/>
      <c r="AM33" s="32"/>
      <c r="AN33" s="32"/>
      <c r="AO33" s="32"/>
      <c r="AP33" s="32"/>
    </row>
    <row r="34" spans="5:42">
      <c r="E34" s="34"/>
      <c r="F34" s="34"/>
      <c r="G34" s="34"/>
      <c r="H34" s="34"/>
      <c r="I34" s="34"/>
      <c r="J34" s="34"/>
      <c r="K34" s="34"/>
      <c r="L34" s="34"/>
      <c r="M34" s="34"/>
      <c r="N34" s="34"/>
      <c r="O34" s="34"/>
      <c r="P34" s="34"/>
      <c r="Q34" s="34"/>
      <c r="R34" s="34"/>
      <c r="S34" s="34"/>
      <c r="T34" s="34"/>
      <c r="U34" s="34"/>
      <c r="V34" s="34"/>
      <c r="W34" s="34"/>
      <c r="X34" s="34"/>
      <c r="Y34" s="26"/>
      <c r="Z34" s="26"/>
      <c r="AA34" s="26"/>
      <c r="AB34" s="26"/>
      <c r="AC34" s="26"/>
      <c r="AD34" s="26"/>
      <c r="AE34" s="26"/>
      <c r="AF34" s="26"/>
      <c r="AG34" s="26"/>
      <c r="AH34" s="26"/>
      <c r="AI34" s="26"/>
      <c r="AJ34" s="26"/>
      <c r="AK34" s="26"/>
      <c r="AL34" s="26"/>
      <c r="AM34" s="26"/>
      <c r="AN34" s="26"/>
      <c r="AO34" s="26"/>
      <c r="AP34" s="26"/>
    </row>
    <row r="35" spans="5:42">
      <c r="E35" s="34"/>
      <c r="F35" s="34"/>
      <c r="G35" s="34"/>
      <c r="H35" s="34"/>
      <c r="I35" s="34"/>
      <c r="J35" s="34"/>
      <c r="K35" s="34"/>
      <c r="L35" s="34"/>
      <c r="M35" s="34"/>
      <c r="N35" s="34"/>
      <c r="O35" s="34"/>
      <c r="P35" s="34"/>
      <c r="Q35" s="34"/>
      <c r="R35" s="34"/>
      <c r="S35" s="34"/>
      <c r="T35" s="34"/>
      <c r="U35" s="34"/>
      <c r="V35" s="34"/>
      <c r="W35" s="34"/>
      <c r="X35" s="34"/>
      <c r="Y35" s="26"/>
      <c r="Z35" s="26"/>
      <c r="AA35" s="26"/>
      <c r="AB35" s="26"/>
      <c r="AC35" s="26"/>
      <c r="AD35" s="26"/>
      <c r="AE35" s="26"/>
      <c r="AF35" s="26"/>
      <c r="AG35" s="26"/>
      <c r="AH35" s="26"/>
      <c r="AI35" s="26"/>
      <c r="AJ35" s="26"/>
      <c r="AK35" s="26"/>
      <c r="AL35" s="26"/>
      <c r="AM35" s="26"/>
      <c r="AN35" s="26"/>
      <c r="AO35" s="26"/>
      <c r="AP35" s="26"/>
    </row>
    <row r="36" spans="5:42">
      <c r="E36" s="34"/>
      <c r="F36" s="34"/>
      <c r="G36" s="34"/>
      <c r="H36" s="34"/>
      <c r="I36" s="34"/>
      <c r="J36" s="34"/>
      <c r="K36" s="34"/>
      <c r="L36" s="34"/>
      <c r="M36" s="34"/>
      <c r="N36" s="34"/>
      <c r="O36" s="34"/>
      <c r="P36" s="34"/>
      <c r="Q36" s="34"/>
      <c r="R36" s="34"/>
      <c r="S36" s="34"/>
      <c r="T36" s="34"/>
      <c r="U36" s="34"/>
      <c r="V36" s="34"/>
      <c r="W36" s="34"/>
      <c r="X36" s="34"/>
      <c r="Y36" s="26"/>
      <c r="Z36" s="26"/>
      <c r="AA36" s="26"/>
      <c r="AB36" s="26"/>
      <c r="AC36" s="26"/>
      <c r="AD36" s="26"/>
      <c r="AE36" s="26"/>
      <c r="AF36" s="26"/>
      <c r="AG36" s="26"/>
      <c r="AH36" s="26"/>
      <c r="AI36" s="26"/>
      <c r="AJ36" s="26"/>
      <c r="AK36" s="26"/>
      <c r="AL36" s="26"/>
      <c r="AM36" s="26"/>
      <c r="AN36" s="26"/>
      <c r="AO36" s="26"/>
      <c r="AP36" s="26"/>
    </row>
    <row r="37" spans="5:42">
      <c r="E37" s="34"/>
      <c r="F37" s="34"/>
      <c r="G37" s="34"/>
      <c r="H37" s="34"/>
      <c r="I37" s="34"/>
      <c r="J37" s="34"/>
      <c r="K37" s="34"/>
      <c r="L37" s="34"/>
      <c r="M37" s="34"/>
      <c r="N37" s="34"/>
      <c r="O37" s="34"/>
      <c r="P37" s="34"/>
      <c r="Q37" s="34"/>
      <c r="R37" s="34"/>
      <c r="S37" s="34"/>
      <c r="T37" s="34"/>
      <c r="U37" s="34"/>
      <c r="V37" s="34"/>
      <c r="W37" s="34"/>
      <c r="X37" s="34"/>
      <c r="Y37" s="26"/>
      <c r="Z37" s="26"/>
      <c r="AA37" s="26"/>
      <c r="AB37" s="26"/>
      <c r="AC37" s="26"/>
      <c r="AD37" s="26"/>
      <c r="AE37" s="26"/>
      <c r="AF37" s="26"/>
      <c r="AG37" s="26"/>
      <c r="AH37" s="26"/>
      <c r="AI37" s="26"/>
      <c r="AJ37" s="26"/>
      <c r="AK37" s="26"/>
      <c r="AL37" s="26"/>
      <c r="AM37" s="26"/>
      <c r="AN37" s="26"/>
      <c r="AO37" s="26"/>
      <c r="AP37" s="26"/>
    </row>
    <row r="38" spans="5:42">
      <c r="E38" s="34"/>
      <c r="F38" s="34"/>
      <c r="G38" s="34"/>
      <c r="H38" s="34"/>
      <c r="I38" s="34"/>
      <c r="J38" s="34"/>
      <c r="K38" s="34"/>
      <c r="L38" s="34"/>
      <c r="M38" s="34"/>
      <c r="N38" s="34"/>
      <c r="O38" s="34"/>
      <c r="P38" s="34"/>
      <c r="Q38" s="34"/>
      <c r="R38" s="34"/>
      <c r="S38" s="34"/>
      <c r="T38" s="34"/>
      <c r="U38" s="34"/>
      <c r="V38" s="34"/>
      <c r="W38" s="34"/>
      <c r="X38" s="34"/>
      <c r="Y38" s="26"/>
      <c r="Z38" s="26"/>
      <c r="AA38" s="26"/>
      <c r="AB38" s="26"/>
      <c r="AC38" s="26"/>
      <c r="AD38" s="26"/>
      <c r="AE38" s="26"/>
      <c r="AF38" s="26"/>
      <c r="AG38" s="26"/>
      <c r="AH38" s="26"/>
      <c r="AI38" s="26"/>
      <c r="AJ38" s="26"/>
      <c r="AK38" s="26"/>
      <c r="AL38" s="26"/>
      <c r="AM38" s="26"/>
      <c r="AN38" s="26"/>
      <c r="AO38" s="26"/>
      <c r="AP38" s="26"/>
    </row>
    <row r="39" spans="5:42">
      <c r="E39" s="34"/>
      <c r="F39" s="34"/>
      <c r="G39" s="34"/>
      <c r="H39" s="34"/>
      <c r="I39" s="34"/>
      <c r="J39" s="34"/>
      <c r="K39" s="34"/>
      <c r="L39" s="34"/>
      <c r="M39" s="34"/>
      <c r="N39" s="34"/>
      <c r="O39" s="34"/>
      <c r="P39" s="34"/>
      <c r="Q39" s="34"/>
      <c r="R39" s="34"/>
      <c r="S39" s="34"/>
      <c r="T39" s="34"/>
      <c r="U39" s="34"/>
      <c r="V39" s="34"/>
      <c r="W39" s="34"/>
      <c r="X39" s="34"/>
      <c r="Y39" s="26"/>
      <c r="Z39" s="26"/>
      <c r="AA39" s="26"/>
      <c r="AB39" s="26"/>
      <c r="AC39" s="26"/>
      <c r="AD39" s="26"/>
      <c r="AE39" s="26"/>
      <c r="AF39" s="26"/>
      <c r="AG39" s="26"/>
      <c r="AH39" s="26"/>
      <c r="AI39" s="26"/>
      <c r="AJ39" s="26"/>
      <c r="AK39" s="26"/>
      <c r="AL39" s="26"/>
      <c r="AM39" s="26"/>
      <c r="AN39" s="26"/>
      <c r="AO39" s="26"/>
      <c r="AP39" s="26"/>
    </row>
    <row r="40" spans="5:42">
      <c r="E40" s="34"/>
      <c r="F40" s="34"/>
      <c r="G40" s="34"/>
      <c r="H40" s="34"/>
      <c r="I40" s="34"/>
      <c r="J40" s="34"/>
      <c r="K40" s="34"/>
      <c r="L40" s="34"/>
      <c r="M40" s="34"/>
      <c r="N40" s="34"/>
      <c r="O40" s="34"/>
      <c r="P40" s="34"/>
      <c r="Q40" s="34"/>
      <c r="R40" s="34"/>
      <c r="S40" s="34"/>
      <c r="T40" s="34"/>
      <c r="U40" s="34"/>
      <c r="V40" s="34"/>
      <c r="W40" s="34"/>
      <c r="X40" s="34"/>
      <c r="Y40" s="26"/>
      <c r="Z40" s="26"/>
      <c r="AA40" s="26"/>
      <c r="AB40" s="26"/>
      <c r="AC40" s="26"/>
      <c r="AD40" s="26"/>
      <c r="AE40" s="26"/>
      <c r="AF40" s="26"/>
      <c r="AG40" s="26"/>
      <c r="AH40" s="26"/>
      <c r="AI40" s="26"/>
      <c r="AJ40" s="26"/>
      <c r="AK40" s="26"/>
      <c r="AL40" s="26"/>
      <c r="AM40" s="26"/>
      <c r="AN40" s="26"/>
      <c r="AO40" s="26"/>
      <c r="AP40" s="26"/>
    </row>
    <row r="41" spans="5:42">
      <c r="E41" s="34"/>
      <c r="F41" s="34"/>
      <c r="G41" s="34"/>
      <c r="H41" s="34"/>
      <c r="I41" s="34"/>
      <c r="J41" s="34"/>
      <c r="K41" s="34"/>
      <c r="L41" s="34"/>
      <c r="M41" s="34"/>
      <c r="N41" s="34"/>
      <c r="O41" s="34"/>
      <c r="P41" s="34"/>
      <c r="Q41" s="34"/>
      <c r="R41" s="34"/>
      <c r="S41" s="34"/>
      <c r="T41" s="34"/>
      <c r="U41" s="34"/>
      <c r="V41" s="34"/>
      <c r="W41" s="34"/>
      <c r="X41" s="34"/>
      <c r="Y41" s="26"/>
      <c r="Z41" s="26"/>
      <c r="AA41" s="26"/>
      <c r="AB41" s="26"/>
      <c r="AC41" s="26"/>
      <c r="AD41" s="26"/>
      <c r="AE41" s="26"/>
      <c r="AF41" s="26"/>
      <c r="AG41" s="26"/>
      <c r="AH41" s="26"/>
      <c r="AI41" s="26"/>
      <c r="AJ41" s="26"/>
      <c r="AK41" s="26"/>
      <c r="AL41" s="26"/>
      <c r="AM41" s="26"/>
      <c r="AN41" s="26"/>
      <c r="AO41" s="26"/>
      <c r="AP41" s="26"/>
    </row>
    <row r="103" spans="1:2">
      <c r="A103" s="26">
        <v>1</v>
      </c>
      <c r="B103" s="26">
        <v>0</v>
      </c>
    </row>
    <row r="104" spans="1:2">
      <c r="A104" s="26">
        <v>2</v>
      </c>
      <c r="B104" s="26">
        <v>0</v>
      </c>
    </row>
    <row r="105" spans="1:2">
      <c r="A105" s="26">
        <v>3</v>
      </c>
      <c r="B105" s="26">
        <v>0</v>
      </c>
    </row>
    <row r="106" spans="1:2">
      <c r="A106" s="26">
        <v>4</v>
      </c>
      <c r="B106" s="26">
        <v>0</v>
      </c>
    </row>
    <row r="107" spans="1:2">
      <c r="A107" s="26">
        <v>5</v>
      </c>
      <c r="B107" s="26">
        <v>0</v>
      </c>
    </row>
    <row r="108" spans="1:2">
      <c r="A108" s="26">
        <v>6</v>
      </c>
      <c r="B108" s="26">
        <v>0</v>
      </c>
    </row>
    <row r="109" spans="1:2">
      <c r="A109" s="26">
        <v>7</v>
      </c>
      <c r="B109" s="26">
        <v>0</v>
      </c>
    </row>
    <row r="110" spans="1:2">
      <c r="A110" s="26">
        <v>8</v>
      </c>
      <c r="B110" s="26">
        <v>0</v>
      </c>
    </row>
    <row r="111" spans="1:2">
      <c r="A111" s="26">
        <v>9</v>
      </c>
      <c r="B111" s="26">
        <v>0</v>
      </c>
    </row>
    <row r="112" spans="1:2">
      <c r="A112" s="26">
        <v>10</v>
      </c>
      <c r="B112" s="26" t="s">
        <v>14</v>
      </c>
    </row>
    <row r="113" spans="1:1">
      <c r="A113" s="26">
        <v>11</v>
      </c>
    </row>
    <row r="114" spans="1:1">
      <c r="A114" s="26">
        <v>12</v>
      </c>
    </row>
    <row r="115" spans="1:1">
      <c r="A115" s="26">
        <v>13</v>
      </c>
    </row>
    <row r="116" spans="1:1">
      <c r="A116" s="26">
        <v>14</v>
      </c>
    </row>
    <row r="117" spans="1:1">
      <c r="A117" s="26">
        <v>15</v>
      </c>
    </row>
    <row r="118" spans="1:1">
      <c r="A118" s="26">
        <v>16</v>
      </c>
    </row>
    <row r="119" spans="1:1">
      <c r="A119" s="26">
        <v>17</v>
      </c>
    </row>
    <row r="120" spans="1:1">
      <c r="A120" s="26">
        <v>18</v>
      </c>
    </row>
    <row r="121" spans="1:1">
      <c r="A121" s="26">
        <v>19</v>
      </c>
    </row>
    <row r="122" spans="1:1">
      <c r="A122" s="26">
        <v>20</v>
      </c>
    </row>
    <row r="123" spans="1:1">
      <c r="A123" s="26">
        <v>21</v>
      </c>
    </row>
    <row r="124" spans="1:1">
      <c r="A124" s="26">
        <v>22</v>
      </c>
    </row>
    <row r="125" spans="1:1">
      <c r="A125" s="26">
        <v>23</v>
      </c>
    </row>
    <row r="126" spans="1:1">
      <c r="A126" s="26">
        <v>24</v>
      </c>
    </row>
    <row r="127" spans="1:1">
      <c r="A127" s="26">
        <v>25</v>
      </c>
    </row>
    <row r="128" spans="1:1">
      <c r="A128" s="26">
        <v>26</v>
      </c>
    </row>
    <row r="129" spans="1:1">
      <c r="A129" s="26">
        <v>27</v>
      </c>
    </row>
    <row r="130" spans="1:1">
      <c r="A130" s="26">
        <v>28</v>
      </c>
    </row>
    <row r="131" spans="1:1">
      <c r="A131" s="26">
        <v>29</v>
      </c>
    </row>
    <row r="132" spans="1:1">
      <c r="A132" s="26">
        <v>30</v>
      </c>
    </row>
  </sheetData>
  <sheetProtection algorithmName="SHA-512" hashValue="yCeB3RY31yYTH2oQV8vwdRdh4T5AecwWnUcerexFzooXGG45l+MOnvqLTBTpZkxUsx4ozrC1g1m54vQA9Y/00Q==" saltValue="CObMMdftFLG0c8nXp5BEzA==" spinCount="100000" sheet="1" objects="1" scenarios="1"/>
  <mergeCells count="22">
    <mergeCell ref="B3:D3"/>
    <mergeCell ref="A10:D10"/>
    <mergeCell ref="A30:D31"/>
    <mergeCell ref="A2:C2"/>
    <mergeCell ref="E2:N2"/>
    <mergeCell ref="E23:N31"/>
    <mergeCell ref="A11:D29"/>
    <mergeCell ref="O2:X2"/>
    <mergeCell ref="E12:N12"/>
    <mergeCell ref="O12:X12"/>
    <mergeCell ref="E22:N22"/>
    <mergeCell ref="O22:X22"/>
    <mergeCell ref="O13:X21"/>
    <mergeCell ref="AL32:AP33"/>
    <mergeCell ref="O32:X32"/>
    <mergeCell ref="O23:X31"/>
    <mergeCell ref="O3:X11"/>
    <mergeCell ref="E3:N11"/>
    <mergeCell ref="E13:N21"/>
    <mergeCell ref="E33:N41"/>
    <mergeCell ref="O33:X41"/>
    <mergeCell ref="E32:N32"/>
  </mergeCells>
  <dataValidations count="2">
    <dataValidation type="list" allowBlank="1" showInputMessage="1" showErrorMessage="1" sqref="A10" xr:uid="{00000000-0002-0000-0000-000000000000}">
      <formula1>CHOOSEONE</formula1>
    </dataValidation>
    <dataValidation type="list" allowBlank="1" showInputMessage="1" showErrorMessage="1" sqref="E12 O2 E2 O12 E22 O22 E32 O32" xr:uid="{00000000-0002-0000-0000-000001000000}">
      <formula1>ChooseA</formula1>
    </dataValidation>
  </dataValidations>
  <pageMargins left="0.25" right="0.25" top="0.5" bottom="0.5" header="0.3" footer="0.3"/>
  <pageSetup scale="54" orientation="landscape" horizontalDpi="4294967293" verticalDpi="4294967293"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STUFF!$7:$7</xm:f>
          </x14:formula1>
          <xm:sqref>B3:D3</xm:sqref>
        </x14:dataValidation>
        <x14:dataValidation type="list" allowBlank="1" showInputMessage="1" showErrorMessage="1" xr:uid="{00000000-0002-0000-0000-000003000000}">
          <x14:formula1>
            <xm:f>Math!$FH$4:$FH$33</xm:f>
          </x14:formula1>
          <xm:sqref>B4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AN59"/>
  <sheetViews>
    <sheetView view="pageLayout" workbookViewId="0">
      <selection activeCell="A2" sqref="A2:B2"/>
    </sheetView>
  </sheetViews>
  <sheetFormatPr defaultColWidth="2.140625" defaultRowHeight="11.25"/>
  <cols>
    <col min="1" max="5" width="2.140625" style="18"/>
    <col min="6" max="6" width="4.7109375" style="18" bestFit="1" customWidth="1"/>
    <col min="7" max="16384" width="2.140625" style="18"/>
  </cols>
  <sheetData>
    <row r="1" spans="1:40">
      <c r="A1" s="45" t="s">
        <v>6</v>
      </c>
      <c r="B1" s="45"/>
      <c r="C1" s="45" t="e">
        <f>START!D5</f>
        <v>#REF!</v>
      </c>
      <c r="D1" s="45"/>
      <c r="E1" s="45"/>
      <c r="F1" s="49" t="str">
        <f>HLOOKUP(START!B3,STUFF!7:16,8,FALSE)</f>
        <v>The bat may fly up to 8 squares and makes one melee basic attack at any point during that movement. The bat doesn’t provoke opportunity attacks when moving away from the target of the attack.</v>
      </c>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row>
    <row r="2" spans="1:40">
      <c r="A2" s="46" t="s">
        <v>8</v>
      </c>
      <c r="B2" s="46"/>
      <c r="C2" s="46">
        <f>START!D7</f>
        <v>20</v>
      </c>
      <c r="D2" s="46"/>
      <c r="E2" s="46"/>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row>
    <row r="3" spans="1:40">
      <c r="A3" s="46" t="s">
        <v>9</v>
      </c>
      <c r="B3" s="46"/>
      <c r="C3" s="46">
        <f>START!D8</f>
        <v>5</v>
      </c>
      <c r="D3" s="46"/>
      <c r="E3" s="46"/>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row>
    <row r="4" spans="1:40" ht="12" customHeight="1">
      <c r="A4" s="46" t="s">
        <v>10</v>
      </c>
      <c r="B4" s="46"/>
      <c r="C4" s="46">
        <f>START!D9</f>
        <v>14</v>
      </c>
      <c r="D4" s="46"/>
      <c r="E4" s="46"/>
      <c r="F4" s="50" t="str">
        <f>HLOOKUP(START!B3,STUFF!7:16,10,FALSE)</f>
        <v>Fly 6</v>
      </c>
      <c r="G4" s="51"/>
      <c r="H4" s="51"/>
      <c r="I4" s="51"/>
      <c r="J4" s="51"/>
      <c r="K4" s="51"/>
      <c r="L4" s="51"/>
      <c r="M4" s="51"/>
      <c r="N4" s="51"/>
      <c r="O4" s="51"/>
      <c r="P4" s="51"/>
      <c r="Q4" s="51"/>
      <c r="R4" s="51"/>
      <c r="S4" s="51"/>
      <c r="T4" s="52"/>
      <c r="U4" s="56" t="s">
        <v>12</v>
      </c>
      <c r="V4" s="57"/>
      <c r="W4" s="57"/>
      <c r="X4" s="57"/>
      <c r="Y4" s="57"/>
      <c r="Z4" s="57"/>
      <c r="AA4" s="57"/>
      <c r="AB4" s="57"/>
      <c r="AC4" s="57"/>
      <c r="AD4" s="57"/>
      <c r="AE4" s="57"/>
      <c r="AF4" s="58"/>
      <c r="AG4" s="65" t="s">
        <v>0</v>
      </c>
      <c r="AH4" s="66"/>
      <c r="AI4" s="66"/>
      <c r="AJ4" s="66"/>
      <c r="AK4" s="66"/>
      <c r="AL4" s="66"/>
      <c r="AM4" s="66"/>
      <c r="AN4" s="67"/>
    </row>
    <row r="5" spans="1:40" ht="12" customHeight="1">
      <c r="A5" s="47" t="s">
        <v>15</v>
      </c>
      <c r="B5" s="48"/>
      <c r="C5" s="68" t="e">
        <f>START!D6</f>
        <v>#REF!</v>
      </c>
      <c r="D5" s="68"/>
      <c r="E5" s="69"/>
      <c r="F5" s="53"/>
      <c r="G5" s="54"/>
      <c r="H5" s="54"/>
      <c r="I5" s="54"/>
      <c r="J5" s="54"/>
      <c r="K5" s="54"/>
      <c r="L5" s="54"/>
      <c r="M5" s="54"/>
      <c r="N5" s="54"/>
      <c r="O5" s="54"/>
      <c r="P5" s="54"/>
      <c r="Q5" s="54"/>
      <c r="R5" s="54"/>
      <c r="S5" s="54"/>
      <c r="T5" s="55"/>
      <c r="U5" s="59"/>
      <c r="V5" s="60"/>
      <c r="W5" s="60"/>
      <c r="X5" s="60"/>
      <c r="Y5" s="60"/>
      <c r="Z5" s="60"/>
      <c r="AA5" s="60"/>
      <c r="AB5" s="60"/>
      <c r="AC5" s="60"/>
      <c r="AD5" s="60"/>
      <c r="AE5" s="60"/>
      <c r="AF5" s="61"/>
      <c r="AG5" s="62">
        <f>START!D2</f>
        <v>10</v>
      </c>
      <c r="AH5" s="63"/>
      <c r="AI5" s="63"/>
      <c r="AJ5" s="63"/>
      <c r="AK5" s="63"/>
      <c r="AL5" s="63"/>
      <c r="AM5" s="63"/>
      <c r="AN5" s="64"/>
    </row>
    <row r="6" spans="1:40" ht="12" customHeight="1">
      <c r="A6" s="70" t="str">
        <f>HLOOKUP(START!B3,STUFF!7:16,2,FALSE)</f>
        <v>Basic Melee attack: Bite
2+LVL vs AC
damage 5 damage. disease: Rabies, a creature hit by this attack it will be filled with uncontrolled excitment and violance. The creature effected by this disease will attack the closest thing, friend or foe, and have a fear of water (save ends all). If the target fails it first save it will then fall unconsciouse (save ends).    +1 dice everv 5 levels (i.e. levels 5,10,15..)</v>
      </c>
      <c r="B6" s="71"/>
      <c r="C6" s="71"/>
      <c r="D6" s="71"/>
      <c r="E6" s="71"/>
      <c r="F6" s="72"/>
      <c r="G6" s="70">
        <f>HLOOKUP(START!B3,STUFF!7:16,3,FALSE)</f>
        <v>0</v>
      </c>
      <c r="H6" s="71"/>
      <c r="I6" s="71"/>
      <c r="J6" s="71"/>
      <c r="K6" s="71"/>
      <c r="L6" s="71"/>
      <c r="M6" s="72"/>
      <c r="N6" s="79">
        <f>HLOOKUP(START!B3,STUFF!7:16,4,FALSE)</f>
        <v>0</v>
      </c>
      <c r="O6" s="80"/>
      <c r="P6" s="80"/>
      <c r="Q6" s="80"/>
      <c r="R6" s="80"/>
      <c r="S6" s="80"/>
      <c r="T6" s="81"/>
      <c r="U6" s="88">
        <f>HLOOKUP(START!B3,STUFF!7:16,5,FALSE)</f>
        <v>0</v>
      </c>
      <c r="V6" s="88"/>
      <c r="W6" s="88"/>
      <c r="X6" s="88"/>
      <c r="Y6" s="88"/>
      <c r="Z6" s="88"/>
      <c r="AA6" s="88"/>
      <c r="AB6" s="88">
        <f>HLOOKUP(START!B3,STUFF!7:16,6,FALSE)</f>
        <v>0</v>
      </c>
      <c r="AC6" s="88"/>
      <c r="AD6" s="88"/>
      <c r="AE6" s="88"/>
      <c r="AF6" s="88"/>
      <c r="AG6" s="88"/>
      <c r="AH6" s="88"/>
      <c r="AI6" s="88">
        <f>HLOOKUP(START!B3,STUFF!7:16,7,FALSE)</f>
        <v>0</v>
      </c>
      <c r="AJ6" s="88"/>
      <c r="AK6" s="88"/>
      <c r="AL6" s="88"/>
      <c r="AM6" s="88"/>
      <c r="AN6" s="88"/>
    </row>
    <row r="7" spans="1:40">
      <c r="A7" s="73"/>
      <c r="B7" s="74"/>
      <c r="C7" s="74"/>
      <c r="D7" s="74"/>
      <c r="E7" s="74"/>
      <c r="F7" s="75"/>
      <c r="G7" s="73"/>
      <c r="H7" s="74"/>
      <c r="I7" s="74"/>
      <c r="J7" s="74"/>
      <c r="K7" s="74"/>
      <c r="L7" s="74"/>
      <c r="M7" s="75"/>
      <c r="N7" s="82"/>
      <c r="O7" s="83"/>
      <c r="P7" s="83"/>
      <c r="Q7" s="83"/>
      <c r="R7" s="83"/>
      <c r="S7" s="83"/>
      <c r="T7" s="84"/>
      <c r="U7" s="88"/>
      <c r="V7" s="88"/>
      <c r="W7" s="88"/>
      <c r="X7" s="88"/>
      <c r="Y7" s="88"/>
      <c r="Z7" s="88"/>
      <c r="AA7" s="88"/>
      <c r="AB7" s="88"/>
      <c r="AC7" s="88"/>
      <c r="AD7" s="88"/>
      <c r="AE7" s="88"/>
      <c r="AF7" s="88"/>
      <c r="AG7" s="88"/>
      <c r="AH7" s="88"/>
      <c r="AI7" s="88"/>
      <c r="AJ7" s="88"/>
      <c r="AK7" s="88"/>
      <c r="AL7" s="88"/>
      <c r="AM7" s="88"/>
      <c r="AN7" s="88"/>
    </row>
    <row r="8" spans="1:40">
      <c r="A8" s="73"/>
      <c r="B8" s="74"/>
      <c r="C8" s="74"/>
      <c r="D8" s="74"/>
      <c r="E8" s="74"/>
      <c r="F8" s="75"/>
      <c r="G8" s="73"/>
      <c r="H8" s="74"/>
      <c r="I8" s="74"/>
      <c r="J8" s="74"/>
      <c r="K8" s="74"/>
      <c r="L8" s="74"/>
      <c r="M8" s="75"/>
      <c r="N8" s="82"/>
      <c r="O8" s="83"/>
      <c r="P8" s="83"/>
      <c r="Q8" s="83"/>
      <c r="R8" s="83"/>
      <c r="S8" s="83"/>
      <c r="T8" s="84"/>
      <c r="U8" s="88"/>
      <c r="V8" s="88"/>
      <c r="W8" s="88"/>
      <c r="X8" s="88"/>
      <c r="Y8" s="88"/>
      <c r="Z8" s="88"/>
      <c r="AA8" s="88"/>
      <c r="AB8" s="88"/>
      <c r="AC8" s="88"/>
      <c r="AD8" s="88"/>
      <c r="AE8" s="88"/>
      <c r="AF8" s="88"/>
      <c r="AG8" s="88"/>
      <c r="AH8" s="88"/>
      <c r="AI8" s="88"/>
      <c r="AJ8" s="88"/>
      <c r="AK8" s="88"/>
      <c r="AL8" s="88"/>
      <c r="AM8" s="88"/>
      <c r="AN8" s="88"/>
    </row>
    <row r="9" spans="1:40">
      <c r="A9" s="73"/>
      <c r="B9" s="74"/>
      <c r="C9" s="74"/>
      <c r="D9" s="74"/>
      <c r="E9" s="74"/>
      <c r="F9" s="75"/>
      <c r="G9" s="73"/>
      <c r="H9" s="74"/>
      <c r="I9" s="74"/>
      <c r="J9" s="74"/>
      <c r="K9" s="74"/>
      <c r="L9" s="74"/>
      <c r="M9" s="75"/>
      <c r="N9" s="82"/>
      <c r="O9" s="83"/>
      <c r="P9" s="83"/>
      <c r="Q9" s="83"/>
      <c r="R9" s="83"/>
      <c r="S9" s="83"/>
      <c r="T9" s="84"/>
      <c r="U9" s="88"/>
      <c r="V9" s="88"/>
      <c r="W9" s="88"/>
      <c r="X9" s="88"/>
      <c r="Y9" s="88"/>
      <c r="Z9" s="88"/>
      <c r="AA9" s="88"/>
      <c r="AB9" s="88"/>
      <c r="AC9" s="88"/>
      <c r="AD9" s="88"/>
      <c r="AE9" s="88"/>
      <c r="AF9" s="88"/>
      <c r="AG9" s="88"/>
      <c r="AH9" s="88"/>
      <c r="AI9" s="88"/>
      <c r="AJ9" s="88"/>
      <c r="AK9" s="88"/>
      <c r="AL9" s="88"/>
      <c r="AM9" s="88"/>
      <c r="AN9" s="88"/>
    </row>
    <row r="10" spans="1:40">
      <c r="A10" s="73"/>
      <c r="B10" s="74"/>
      <c r="C10" s="74"/>
      <c r="D10" s="74"/>
      <c r="E10" s="74"/>
      <c r="F10" s="75"/>
      <c r="G10" s="73"/>
      <c r="H10" s="74"/>
      <c r="I10" s="74"/>
      <c r="J10" s="74"/>
      <c r="K10" s="74"/>
      <c r="L10" s="74"/>
      <c r="M10" s="75"/>
      <c r="N10" s="82"/>
      <c r="O10" s="83"/>
      <c r="P10" s="83"/>
      <c r="Q10" s="83"/>
      <c r="R10" s="83"/>
      <c r="S10" s="83"/>
      <c r="T10" s="84"/>
      <c r="U10" s="88"/>
      <c r="V10" s="88"/>
      <c r="W10" s="88"/>
      <c r="X10" s="88"/>
      <c r="Y10" s="88"/>
      <c r="Z10" s="88"/>
      <c r="AA10" s="88"/>
      <c r="AB10" s="88"/>
      <c r="AC10" s="88"/>
      <c r="AD10" s="88"/>
      <c r="AE10" s="88"/>
      <c r="AF10" s="88"/>
      <c r="AG10" s="88"/>
      <c r="AH10" s="88"/>
      <c r="AI10" s="88"/>
      <c r="AJ10" s="88"/>
      <c r="AK10" s="88"/>
      <c r="AL10" s="88"/>
      <c r="AM10" s="88"/>
      <c r="AN10" s="88"/>
    </row>
    <row r="11" spans="1:40">
      <c r="A11" s="73"/>
      <c r="B11" s="74"/>
      <c r="C11" s="74"/>
      <c r="D11" s="74"/>
      <c r="E11" s="74"/>
      <c r="F11" s="75"/>
      <c r="G11" s="73"/>
      <c r="H11" s="74"/>
      <c r="I11" s="74"/>
      <c r="J11" s="74"/>
      <c r="K11" s="74"/>
      <c r="L11" s="74"/>
      <c r="M11" s="75"/>
      <c r="N11" s="82"/>
      <c r="O11" s="83"/>
      <c r="P11" s="83"/>
      <c r="Q11" s="83"/>
      <c r="R11" s="83"/>
      <c r="S11" s="83"/>
      <c r="T11" s="84"/>
      <c r="U11" s="88"/>
      <c r="V11" s="88"/>
      <c r="W11" s="88"/>
      <c r="X11" s="88"/>
      <c r="Y11" s="88"/>
      <c r="Z11" s="88"/>
      <c r="AA11" s="88"/>
      <c r="AB11" s="88"/>
      <c r="AC11" s="88"/>
      <c r="AD11" s="88"/>
      <c r="AE11" s="88"/>
      <c r="AF11" s="88"/>
      <c r="AG11" s="88"/>
      <c r="AH11" s="88"/>
      <c r="AI11" s="88"/>
      <c r="AJ11" s="88"/>
      <c r="AK11" s="88"/>
      <c r="AL11" s="88"/>
      <c r="AM11" s="88"/>
      <c r="AN11" s="88"/>
    </row>
    <row r="12" spans="1:40">
      <c r="A12" s="73"/>
      <c r="B12" s="74"/>
      <c r="C12" s="74"/>
      <c r="D12" s="74"/>
      <c r="E12" s="74"/>
      <c r="F12" s="75"/>
      <c r="G12" s="73"/>
      <c r="H12" s="74"/>
      <c r="I12" s="74"/>
      <c r="J12" s="74"/>
      <c r="K12" s="74"/>
      <c r="L12" s="74"/>
      <c r="M12" s="75"/>
      <c r="N12" s="82"/>
      <c r="O12" s="83"/>
      <c r="P12" s="83"/>
      <c r="Q12" s="83"/>
      <c r="R12" s="83"/>
      <c r="S12" s="83"/>
      <c r="T12" s="84"/>
      <c r="U12" s="88"/>
      <c r="V12" s="88"/>
      <c r="W12" s="88"/>
      <c r="X12" s="88"/>
      <c r="Y12" s="88"/>
      <c r="Z12" s="88"/>
      <c r="AA12" s="88"/>
      <c r="AB12" s="88"/>
      <c r="AC12" s="88"/>
      <c r="AD12" s="88"/>
      <c r="AE12" s="88"/>
      <c r="AF12" s="88"/>
      <c r="AG12" s="88"/>
      <c r="AH12" s="88"/>
      <c r="AI12" s="88"/>
      <c r="AJ12" s="88"/>
      <c r="AK12" s="88"/>
      <c r="AL12" s="88"/>
      <c r="AM12" s="88"/>
      <c r="AN12" s="88"/>
    </row>
    <row r="13" spans="1:40">
      <c r="A13" s="73"/>
      <c r="B13" s="74"/>
      <c r="C13" s="74"/>
      <c r="D13" s="74"/>
      <c r="E13" s="74"/>
      <c r="F13" s="75"/>
      <c r="G13" s="73"/>
      <c r="H13" s="74"/>
      <c r="I13" s="74"/>
      <c r="J13" s="74"/>
      <c r="K13" s="74"/>
      <c r="L13" s="74"/>
      <c r="M13" s="75"/>
      <c r="N13" s="82"/>
      <c r="O13" s="83"/>
      <c r="P13" s="83"/>
      <c r="Q13" s="83"/>
      <c r="R13" s="83"/>
      <c r="S13" s="83"/>
      <c r="T13" s="84"/>
      <c r="U13" s="88"/>
      <c r="V13" s="88"/>
      <c r="W13" s="88"/>
      <c r="X13" s="88"/>
      <c r="Y13" s="88"/>
      <c r="Z13" s="88"/>
      <c r="AA13" s="88"/>
      <c r="AB13" s="88"/>
      <c r="AC13" s="88"/>
      <c r="AD13" s="88"/>
      <c r="AE13" s="88"/>
      <c r="AF13" s="88"/>
      <c r="AG13" s="88"/>
      <c r="AH13" s="88"/>
      <c r="AI13" s="88"/>
      <c r="AJ13" s="88"/>
      <c r="AK13" s="88"/>
      <c r="AL13" s="88"/>
      <c r="AM13" s="88"/>
      <c r="AN13" s="88"/>
    </row>
    <row r="14" spans="1:40">
      <c r="A14" s="73"/>
      <c r="B14" s="74"/>
      <c r="C14" s="74"/>
      <c r="D14" s="74"/>
      <c r="E14" s="74"/>
      <c r="F14" s="75"/>
      <c r="G14" s="73"/>
      <c r="H14" s="74"/>
      <c r="I14" s="74"/>
      <c r="J14" s="74"/>
      <c r="K14" s="74"/>
      <c r="L14" s="74"/>
      <c r="M14" s="75"/>
      <c r="N14" s="82"/>
      <c r="O14" s="83"/>
      <c r="P14" s="83"/>
      <c r="Q14" s="83"/>
      <c r="R14" s="83"/>
      <c r="S14" s="83"/>
      <c r="T14" s="84"/>
      <c r="U14" s="88"/>
      <c r="V14" s="88"/>
      <c r="W14" s="88"/>
      <c r="X14" s="88"/>
      <c r="Y14" s="88"/>
      <c r="Z14" s="88"/>
      <c r="AA14" s="88"/>
      <c r="AB14" s="88"/>
      <c r="AC14" s="88"/>
      <c r="AD14" s="88"/>
      <c r="AE14" s="88"/>
      <c r="AF14" s="88"/>
      <c r="AG14" s="88"/>
      <c r="AH14" s="88"/>
      <c r="AI14" s="88"/>
      <c r="AJ14" s="88"/>
      <c r="AK14" s="88"/>
      <c r="AL14" s="88"/>
      <c r="AM14" s="88"/>
      <c r="AN14" s="88"/>
    </row>
    <row r="15" spans="1:40">
      <c r="A15" s="73"/>
      <c r="B15" s="74"/>
      <c r="C15" s="74"/>
      <c r="D15" s="74"/>
      <c r="E15" s="74"/>
      <c r="F15" s="75"/>
      <c r="G15" s="73"/>
      <c r="H15" s="74"/>
      <c r="I15" s="74"/>
      <c r="J15" s="74"/>
      <c r="K15" s="74"/>
      <c r="L15" s="74"/>
      <c r="M15" s="75"/>
      <c r="N15" s="82"/>
      <c r="O15" s="83"/>
      <c r="P15" s="83"/>
      <c r="Q15" s="83"/>
      <c r="R15" s="83"/>
      <c r="S15" s="83"/>
      <c r="T15" s="84"/>
      <c r="U15" s="88"/>
      <c r="V15" s="88"/>
      <c r="W15" s="88"/>
      <c r="X15" s="88"/>
      <c r="Y15" s="88"/>
      <c r="Z15" s="88"/>
      <c r="AA15" s="88"/>
      <c r="AB15" s="88"/>
      <c r="AC15" s="88"/>
      <c r="AD15" s="88"/>
      <c r="AE15" s="88"/>
      <c r="AF15" s="88"/>
      <c r="AG15" s="88"/>
      <c r="AH15" s="88"/>
      <c r="AI15" s="88"/>
      <c r="AJ15" s="88"/>
      <c r="AK15" s="88"/>
      <c r="AL15" s="88"/>
      <c r="AM15" s="88"/>
      <c r="AN15" s="88"/>
    </row>
    <row r="16" spans="1:40">
      <c r="A16" s="73"/>
      <c r="B16" s="74"/>
      <c r="C16" s="74"/>
      <c r="D16" s="74"/>
      <c r="E16" s="74"/>
      <c r="F16" s="75"/>
      <c r="G16" s="73"/>
      <c r="H16" s="74"/>
      <c r="I16" s="74"/>
      <c r="J16" s="74"/>
      <c r="K16" s="74"/>
      <c r="L16" s="74"/>
      <c r="M16" s="75"/>
      <c r="N16" s="82"/>
      <c r="O16" s="83"/>
      <c r="P16" s="83"/>
      <c r="Q16" s="83"/>
      <c r="R16" s="83"/>
      <c r="S16" s="83"/>
      <c r="T16" s="84"/>
      <c r="U16" s="88"/>
      <c r="V16" s="88"/>
      <c r="W16" s="88"/>
      <c r="X16" s="88"/>
      <c r="Y16" s="88"/>
      <c r="Z16" s="88"/>
      <c r="AA16" s="88"/>
      <c r="AB16" s="88"/>
      <c r="AC16" s="88"/>
      <c r="AD16" s="88"/>
      <c r="AE16" s="88"/>
      <c r="AF16" s="88"/>
      <c r="AG16" s="88"/>
      <c r="AH16" s="88"/>
      <c r="AI16" s="88"/>
      <c r="AJ16" s="88"/>
      <c r="AK16" s="88"/>
      <c r="AL16" s="88"/>
      <c r="AM16" s="88"/>
      <c r="AN16" s="88"/>
    </row>
    <row r="17" spans="1:40">
      <c r="A17" s="73"/>
      <c r="B17" s="74"/>
      <c r="C17" s="74"/>
      <c r="D17" s="74"/>
      <c r="E17" s="74"/>
      <c r="F17" s="75"/>
      <c r="G17" s="73"/>
      <c r="H17" s="74"/>
      <c r="I17" s="74"/>
      <c r="J17" s="74"/>
      <c r="K17" s="74"/>
      <c r="L17" s="74"/>
      <c r="M17" s="75"/>
      <c r="N17" s="82"/>
      <c r="O17" s="83"/>
      <c r="P17" s="83"/>
      <c r="Q17" s="83"/>
      <c r="R17" s="83"/>
      <c r="S17" s="83"/>
      <c r="T17" s="84"/>
      <c r="U17" s="88"/>
      <c r="V17" s="88"/>
      <c r="W17" s="88"/>
      <c r="X17" s="88"/>
      <c r="Y17" s="88"/>
      <c r="Z17" s="88"/>
      <c r="AA17" s="88"/>
      <c r="AB17" s="88"/>
      <c r="AC17" s="88"/>
      <c r="AD17" s="88"/>
      <c r="AE17" s="88"/>
      <c r="AF17" s="88"/>
      <c r="AG17" s="88"/>
      <c r="AH17" s="88"/>
      <c r="AI17" s="88"/>
      <c r="AJ17" s="88"/>
      <c r="AK17" s="88"/>
      <c r="AL17" s="88"/>
      <c r="AM17" s="88"/>
      <c r="AN17" s="88"/>
    </row>
    <row r="18" spans="1:40">
      <c r="A18" s="73"/>
      <c r="B18" s="74"/>
      <c r="C18" s="74"/>
      <c r="D18" s="74"/>
      <c r="E18" s="74"/>
      <c r="F18" s="75"/>
      <c r="G18" s="73"/>
      <c r="H18" s="74"/>
      <c r="I18" s="74"/>
      <c r="J18" s="74"/>
      <c r="K18" s="74"/>
      <c r="L18" s="74"/>
      <c r="M18" s="75"/>
      <c r="N18" s="82"/>
      <c r="O18" s="83"/>
      <c r="P18" s="83"/>
      <c r="Q18" s="83"/>
      <c r="R18" s="83"/>
      <c r="S18" s="83"/>
      <c r="T18" s="84"/>
      <c r="U18" s="88"/>
      <c r="V18" s="88"/>
      <c r="W18" s="88"/>
      <c r="X18" s="88"/>
      <c r="Y18" s="88"/>
      <c r="Z18" s="88"/>
      <c r="AA18" s="88"/>
      <c r="AB18" s="88"/>
      <c r="AC18" s="88"/>
      <c r="AD18" s="88"/>
      <c r="AE18" s="88"/>
      <c r="AF18" s="88"/>
      <c r="AG18" s="88"/>
      <c r="AH18" s="88"/>
      <c r="AI18" s="88"/>
      <c r="AJ18" s="88"/>
      <c r="AK18" s="88"/>
      <c r="AL18" s="88"/>
      <c r="AM18" s="88"/>
      <c r="AN18" s="88"/>
    </row>
    <row r="19" spans="1:40">
      <c r="A19" s="73"/>
      <c r="B19" s="74"/>
      <c r="C19" s="74"/>
      <c r="D19" s="74"/>
      <c r="E19" s="74"/>
      <c r="F19" s="75"/>
      <c r="G19" s="73"/>
      <c r="H19" s="74"/>
      <c r="I19" s="74"/>
      <c r="J19" s="74"/>
      <c r="K19" s="74"/>
      <c r="L19" s="74"/>
      <c r="M19" s="75"/>
      <c r="N19" s="82"/>
      <c r="O19" s="83"/>
      <c r="P19" s="83"/>
      <c r="Q19" s="83"/>
      <c r="R19" s="83"/>
      <c r="S19" s="83"/>
      <c r="T19" s="84"/>
      <c r="U19" s="88"/>
      <c r="V19" s="88"/>
      <c r="W19" s="88"/>
      <c r="X19" s="88"/>
      <c r="Y19" s="88"/>
      <c r="Z19" s="88"/>
      <c r="AA19" s="88"/>
      <c r="AB19" s="88"/>
      <c r="AC19" s="88"/>
      <c r="AD19" s="88"/>
      <c r="AE19" s="88"/>
      <c r="AF19" s="88"/>
      <c r="AG19" s="88"/>
      <c r="AH19" s="88"/>
      <c r="AI19" s="88"/>
      <c r="AJ19" s="88"/>
      <c r="AK19" s="88"/>
      <c r="AL19" s="88"/>
      <c r="AM19" s="88"/>
      <c r="AN19" s="88"/>
    </row>
    <row r="20" spans="1:40">
      <c r="A20" s="73"/>
      <c r="B20" s="74"/>
      <c r="C20" s="74"/>
      <c r="D20" s="74"/>
      <c r="E20" s="74"/>
      <c r="F20" s="75"/>
      <c r="G20" s="73"/>
      <c r="H20" s="74"/>
      <c r="I20" s="74"/>
      <c r="J20" s="74"/>
      <c r="K20" s="74"/>
      <c r="L20" s="74"/>
      <c r="M20" s="75"/>
      <c r="N20" s="82"/>
      <c r="O20" s="83"/>
      <c r="P20" s="83"/>
      <c r="Q20" s="83"/>
      <c r="R20" s="83"/>
      <c r="S20" s="83"/>
      <c r="T20" s="84"/>
      <c r="U20" s="88"/>
      <c r="V20" s="88"/>
      <c r="W20" s="88"/>
      <c r="X20" s="88"/>
      <c r="Y20" s="88"/>
      <c r="Z20" s="88"/>
      <c r="AA20" s="88"/>
      <c r="AB20" s="88"/>
      <c r="AC20" s="88"/>
      <c r="AD20" s="88"/>
      <c r="AE20" s="88"/>
      <c r="AF20" s="88"/>
      <c r="AG20" s="88"/>
      <c r="AH20" s="88"/>
      <c r="AI20" s="88"/>
      <c r="AJ20" s="88"/>
      <c r="AK20" s="88"/>
      <c r="AL20" s="88"/>
      <c r="AM20" s="88"/>
      <c r="AN20" s="88"/>
    </row>
    <row r="21" spans="1:40">
      <c r="A21" s="73"/>
      <c r="B21" s="74"/>
      <c r="C21" s="74"/>
      <c r="D21" s="74"/>
      <c r="E21" s="74"/>
      <c r="F21" s="75"/>
      <c r="G21" s="73"/>
      <c r="H21" s="74"/>
      <c r="I21" s="74"/>
      <c r="J21" s="74"/>
      <c r="K21" s="74"/>
      <c r="L21" s="74"/>
      <c r="M21" s="75"/>
      <c r="N21" s="82"/>
      <c r="O21" s="83"/>
      <c r="P21" s="83"/>
      <c r="Q21" s="83"/>
      <c r="R21" s="83"/>
      <c r="S21" s="83"/>
      <c r="T21" s="84"/>
      <c r="U21" s="88"/>
      <c r="V21" s="88"/>
      <c r="W21" s="88"/>
      <c r="X21" s="88"/>
      <c r="Y21" s="88"/>
      <c r="Z21" s="88"/>
      <c r="AA21" s="88"/>
      <c r="AB21" s="88"/>
      <c r="AC21" s="88"/>
      <c r="AD21" s="88"/>
      <c r="AE21" s="88"/>
      <c r="AF21" s="88"/>
      <c r="AG21" s="88"/>
      <c r="AH21" s="88"/>
      <c r="AI21" s="88"/>
      <c r="AJ21" s="88"/>
      <c r="AK21" s="88"/>
      <c r="AL21" s="88"/>
      <c r="AM21" s="88"/>
      <c r="AN21" s="88"/>
    </row>
    <row r="22" spans="1:40">
      <c r="A22" s="73"/>
      <c r="B22" s="74"/>
      <c r="C22" s="74"/>
      <c r="D22" s="74"/>
      <c r="E22" s="74"/>
      <c r="F22" s="75"/>
      <c r="G22" s="73"/>
      <c r="H22" s="74"/>
      <c r="I22" s="74"/>
      <c r="J22" s="74"/>
      <c r="K22" s="74"/>
      <c r="L22" s="74"/>
      <c r="M22" s="75"/>
      <c r="N22" s="82"/>
      <c r="O22" s="83"/>
      <c r="P22" s="83"/>
      <c r="Q22" s="83"/>
      <c r="R22" s="83"/>
      <c r="S22" s="83"/>
      <c r="T22" s="84"/>
      <c r="U22" s="88"/>
      <c r="V22" s="88"/>
      <c r="W22" s="88"/>
      <c r="X22" s="88"/>
      <c r="Y22" s="88"/>
      <c r="Z22" s="88"/>
      <c r="AA22" s="88"/>
      <c r="AB22" s="88"/>
      <c r="AC22" s="88"/>
      <c r="AD22" s="88"/>
      <c r="AE22" s="88"/>
      <c r="AF22" s="88"/>
      <c r="AG22" s="88"/>
      <c r="AH22" s="88"/>
      <c r="AI22" s="88"/>
      <c r="AJ22" s="88"/>
      <c r="AK22" s="88"/>
      <c r="AL22" s="88"/>
      <c r="AM22" s="88"/>
      <c r="AN22" s="88"/>
    </row>
    <row r="23" spans="1:40">
      <c r="A23" s="73"/>
      <c r="B23" s="74"/>
      <c r="C23" s="74"/>
      <c r="D23" s="74"/>
      <c r="E23" s="74"/>
      <c r="F23" s="75"/>
      <c r="G23" s="73"/>
      <c r="H23" s="74"/>
      <c r="I23" s="74"/>
      <c r="J23" s="74"/>
      <c r="K23" s="74"/>
      <c r="L23" s="74"/>
      <c r="M23" s="75"/>
      <c r="N23" s="82"/>
      <c r="O23" s="83"/>
      <c r="P23" s="83"/>
      <c r="Q23" s="83"/>
      <c r="R23" s="83"/>
      <c r="S23" s="83"/>
      <c r="T23" s="84"/>
      <c r="U23" s="88"/>
      <c r="V23" s="88"/>
      <c r="W23" s="88"/>
      <c r="X23" s="88"/>
      <c r="Y23" s="88"/>
      <c r="Z23" s="88"/>
      <c r="AA23" s="88"/>
      <c r="AB23" s="88"/>
      <c r="AC23" s="88"/>
      <c r="AD23" s="88"/>
      <c r="AE23" s="88"/>
      <c r="AF23" s="88"/>
      <c r="AG23" s="88"/>
      <c r="AH23" s="88"/>
      <c r="AI23" s="88"/>
      <c r="AJ23" s="88"/>
      <c r="AK23" s="88"/>
      <c r="AL23" s="88"/>
      <c r="AM23" s="88"/>
      <c r="AN23" s="88"/>
    </row>
    <row r="24" spans="1:40">
      <c r="A24" s="73"/>
      <c r="B24" s="74"/>
      <c r="C24" s="74"/>
      <c r="D24" s="74"/>
      <c r="E24" s="74"/>
      <c r="F24" s="75"/>
      <c r="G24" s="73"/>
      <c r="H24" s="74"/>
      <c r="I24" s="74"/>
      <c r="J24" s="74"/>
      <c r="K24" s="74"/>
      <c r="L24" s="74"/>
      <c r="M24" s="75"/>
      <c r="N24" s="82"/>
      <c r="O24" s="83"/>
      <c r="P24" s="83"/>
      <c r="Q24" s="83"/>
      <c r="R24" s="83"/>
      <c r="S24" s="83"/>
      <c r="T24" s="84"/>
      <c r="U24" s="88"/>
      <c r="V24" s="88"/>
      <c r="W24" s="88"/>
      <c r="X24" s="88"/>
      <c r="Y24" s="88"/>
      <c r="Z24" s="88"/>
      <c r="AA24" s="88"/>
      <c r="AB24" s="88"/>
      <c r="AC24" s="88"/>
      <c r="AD24" s="88"/>
      <c r="AE24" s="88"/>
      <c r="AF24" s="88"/>
      <c r="AG24" s="88"/>
      <c r="AH24" s="88"/>
      <c r="AI24" s="88"/>
      <c r="AJ24" s="88"/>
      <c r="AK24" s="88"/>
      <c r="AL24" s="88"/>
      <c r="AM24" s="88"/>
      <c r="AN24" s="88"/>
    </row>
    <row r="25" spans="1:40">
      <c r="A25" s="73"/>
      <c r="B25" s="74"/>
      <c r="C25" s="74"/>
      <c r="D25" s="74"/>
      <c r="E25" s="74"/>
      <c r="F25" s="75"/>
      <c r="G25" s="73"/>
      <c r="H25" s="74"/>
      <c r="I25" s="74"/>
      <c r="J25" s="74"/>
      <c r="K25" s="74"/>
      <c r="L25" s="74"/>
      <c r="M25" s="75"/>
      <c r="N25" s="82"/>
      <c r="O25" s="83"/>
      <c r="P25" s="83"/>
      <c r="Q25" s="83"/>
      <c r="R25" s="83"/>
      <c r="S25" s="83"/>
      <c r="T25" s="84"/>
      <c r="U25" s="88"/>
      <c r="V25" s="88"/>
      <c r="W25" s="88"/>
      <c r="X25" s="88"/>
      <c r="Y25" s="88"/>
      <c r="Z25" s="88"/>
      <c r="AA25" s="88"/>
      <c r="AB25" s="88"/>
      <c r="AC25" s="88"/>
      <c r="AD25" s="88"/>
      <c r="AE25" s="88"/>
      <c r="AF25" s="88"/>
      <c r="AG25" s="88"/>
      <c r="AH25" s="88"/>
      <c r="AI25" s="88"/>
      <c r="AJ25" s="88"/>
      <c r="AK25" s="88"/>
      <c r="AL25" s="88"/>
      <c r="AM25" s="88"/>
      <c r="AN25" s="88"/>
    </row>
    <row r="26" spans="1:40">
      <c r="A26" s="73"/>
      <c r="B26" s="74"/>
      <c r="C26" s="74"/>
      <c r="D26" s="74"/>
      <c r="E26" s="74"/>
      <c r="F26" s="75"/>
      <c r="G26" s="73"/>
      <c r="H26" s="74"/>
      <c r="I26" s="74"/>
      <c r="J26" s="74"/>
      <c r="K26" s="74"/>
      <c r="L26" s="74"/>
      <c r="M26" s="75"/>
      <c r="N26" s="82"/>
      <c r="O26" s="83"/>
      <c r="P26" s="83"/>
      <c r="Q26" s="83"/>
      <c r="R26" s="83"/>
      <c r="S26" s="83"/>
      <c r="T26" s="84"/>
      <c r="U26" s="88"/>
      <c r="V26" s="88"/>
      <c r="W26" s="88"/>
      <c r="X26" s="88"/>
      <c r="Y26" s="88"/>
      <c r="Z26" s="88"/>
      <c r="AA26" s="88"/>
      <c r="AB26" s="88"/>
      <c r="AC26" s="88"/>
      <c r="AD26" s="88"/>
      <c r="AE26" s="88"/>
      <c r="AF26" s="88"/>
      <c r="AG26" s="88"/>
      <c r="AH26" s="88"/>
      <c r="AI26" s="88"/>
      <c r="AJ26" s="88"/>
      <c r="AK26" s="88"/>
      <c r="AL26" s="88"/>
      <c r="AM26" s="88"/>
      <c r="AN26" s="88"/>
    </row>
    <row r="27" spans="1:40">
      <c r="A27" s="73"/>
      <c r="B27" s="74"/>
      <c r="C27" s="74"/>
      <c r="D27" s="74"/>
      <c r="E27" s="74"/>
      <c r="F27" s="75"/>
      <c r="G27" s="73"/>
      <c r="H27" s="74"/>
      <c r="I27" s="74"/>
      <c r="J27" s="74"/>
      <c r="K27" s="74"/>
      <c r="L27" s="74"/>
      <c r="M27" s="75"/>
      <c r="N27" s="82"/>
      <c r="O27" s="83"/>
      <c r="P27" s="83"/>
      <c r="Q27" s="83"/>
      <c r="R27" s="83"/>
      <c r="S27" s="83"/>
      <c r="T27" s="84"/>
      <c r="U27" s="88"/>
      <c r="V27" s="88"/>
      <c r="W27" s="88"/>
      <c r="X27" s="88"/>
      <c r="Y27" s="88"/>
      <c r="Z27" s="88"/>
      <c r="AA27" s="88"/>
      <c r="AB27" s="88"/>
      <c r="AC27" s="88"/>
      <c r="AD27" s="88"/>
      <c r="AE27" s="88"/>
      <c r="AF27" s="88"/>
      <c r="AG27" s="88"/>
      <c r="AH27" s="88"/>
      <c r="AI27" s="88"/>
      <c r="AJ27" s="88"/>
      <c r="AK27" s="88"/>
      <c r="AL27" s="88"/>
      <c r="AM27" s="88"/>
      <c r="AN27" s="88"/>
    </row>
    <row r="28" spans="1:40">
      <c r="A28" s="73"/>
      <c r="B28" s="74"/>
      <c r="C28" s="74"/>
      <c r="D28" s="74"/>
      <c r="E28" s="74"/>
      <c r="F28" s="75"/>
      <c r="G28" s="73"/>
      <c r="H28" s="74"/>
      <c r="I28" s="74"/>
      <c r="J28" s="74"/>
      <c r="K28" s="74"/>
      <c r="L28" s="74"/>
      <c r="M28" s="75"/>
      <c r="N28" s="82"/>
      <c r="O28" s="83"/>
      <c r="P28" s="83"/>
      <c r="Q28" s="83"/>
      <c r="R28" s="83"/>
      <c r="S28" s="83"/>
      <c r="T28" s="84"/>
      <c r="U28" s="88"/>
      <c r="V28" s="88"/>
      <c r="W28" s="88"/>
      <c r="X28" s="88"/>
      <c r="Y28" s="88"/>
      <c r="Z28" s="88"/>
      <c r="AA28" s="88"/>
      <c r="AB28" s="88"/>
      <c r="AC28" s="88"/>
      <c r="AD28" s="88"/>
      <c r="AE28" s="88"/>
      <c r="AF28" s="88"/>
      <c r="AG28" s="88"/>
      <c r="AH28" s="88"/>
      <c r="AI28" s="88"/>
      <c r="AJ28" s="88"/>
      <c r="AK28" s="88"/>
      <c r="AL28" s="88"/>
      <c r="AM28" s="88"/>
      <c r="AN28" s="88"/>
    </row>
    <row r="29" spans="1:40">
      <c r="A29" s="76"/>
      <c r="B29" s="77"/>
      <c r="C29" s="77"/>
      <c r="D29" s="77"/>
      <c r="E29" s="77"/>
      <c r="F29" s="78"/>
      <c r="G29" s="76"/>
      <c r="H29" s="77"/>
      <c r="I29" s="77"/>
      <c r="J29" s="77"/>
      <c r="K29" s="77"/>
      <c r="L29" s="77"/>
      <c r="M29" s="78"/>
      <c r="N29" s="85"/>
      <c r="O29" s="86"/>
      <c r="P29" s="86"/>
      <c r="Q29" s="86"/>
      <c r="R29" s="86"/>
      <c r="S29" s="86"/>
      <c r="T29" s="87"/>
      <c r="U29" s="88"/>
      <c r="V29" s="88"/>
      <c r="W29" s="88"/>
      <c r="X29" s="88"/>
      <c r="Y29" s="88"/>
      <c r="Z29" s="88"/>
      <c r="AA29" s="88"/>
      <c r="AB29" s="88"/>
      <c r="AC29" s="88"/>
      <c r="AD29" s="88"/>
      <c r="AE29" s="88"/>
      <c r="AF29" s="88"/>
      <c r="AG29" s="88"/>
      <c r="AH29" s="88"/>
      <c r="AI29" s="88"/>
      <c r="AJ29" s="88"/>
      <c r="AK29" s="88"/>
      <c r="AL29" s="88"/>
      <c r="AM29" s="88"/>
      <c r="AN29" s="88"/>
    </row>
    <row r="30" spans="1:40" ht="48" customHeight="1">
      <c r="A30" s="97" t="str">
        <f>HLOOKUP(START!B3,STUFF!7:16,8,FALSE)</f>
        <v>The bat may fly up to 8 squares and makes one melee basic attack at any point during that movement. The bat doesn’t provoke opportunity attacks when moving away from the target of the attack.</v>
      </c>
      <c r="B30" s="98"/>
      <c r="C30" s="98"/>
      <c r="D30" s="98"/>
      <c r="E30" s="99"/>
      <c r="F30" s="97" t="str">
        <f>HLOOKUP(START!B3,STUFF!7:16,9,FALSE)</f>
        <v>Blind Fighting
You ignore the penalties for being blinded.</v>
      </c>
      <c r="G30" s="98"/>
      <c r="H30" s="98"/>
      <c r="I30" s="98"/>
      <c r="J30" s="98"/>
      <c r="K30" s="98"/>
      <c r="L30" s="99"/>
      <c r="M30" s="103" t="str">
        <f>START!E3</f>
        <v>None</v>
      </c>
      <c r="N30" s="89"/>
      <c r="O30" s="89"/>
      <c r="P30" s="89"/>
      <c r="Q30" s="89"/>
      <c r="R30" s="89"/>
      <c r="S30" s="89"/>
      <c r="T30" s="90"/>
      <c r="U30" s="103" t="str">
        <f>START!O3</f>
        <v>None</v>
      </c>
      <c r="V30" s="89"/>
      <c r="W30" s="89"/>
      <c r="X30" s="89"/>
      <c r="Y30" s="89"/>
      <c r="Z30" s="89"/>
      <c r="AA30" s="90"/>
      <c r="AB30" s="103" t="str">
        <f>START!E13</f>
        <v>None</v>
      </c>
      <c r="AC30" s="89"/>
      <c r="AD30" s="89"/>
      <c r="AE30" s="89"/>
      <c r="AF30" s="89"/>
      <c r="AG30" s="89"/>
      <c r="AH30" s="89"/>
      <c r="AI30" s="89" t="str">
        <f>START!O13</f>
        <v>None</v>
      </c>
      <c r="AJ30" s="89"/>
      <c r="AK30" s="89"/>
      <c r="AL30" s="89"/>
      <c r="AM30" s="89"/>
      <c r="AN30" s="90"/>
    </row>
    <row r="31" spans="1:40">
      <c r="A31" s="100"/>
      <c r="B31" s="101"/>
      <c r="C31" s="101"/>
      <c r="D31" s="101"/>
      <c r="E31" s="102"/>
      <c r="F31" s="100"/>
      <c r="G31" s="101"/>
      <c r="H31" s="101"/>
      <c r="I31" s="101"/>
      <c r="J31" s="101"/>
      <c r="K31" s="101"/>
      <c r="L31" s="102"/>
      <c r="M31" s="93"/>
      <c r="N31" s="91"/>
      <c r="O31" s="91"/>
      <c r="P31" s="91"/>
      <c r="Q31" s="91"/>
      <c r="R31" s="91"/>
      <c r="S31" s="91"/>
      <c r="T31" s="92"/>
      <c r="U31" s="93"/>
      <c r="V31" s="91"/>
      <c r="W31" s="91"/>
      <c r="X31" s="91"/>
      <c r="Y31" s="91"/>
      <c r="Z31" s="91"/>
      <c r="AA31" s="92"/>
      <c r="AB31" s="93"/>
      <c r="AC31" s="91"/>
      <c r="AD31" s="91"/>
      <c r="AE31" s="91"/>
      <c r="AF31" s="91"/>
      <c r="AG31" s="91"/>
      <c r="AH31" s="91"/>
      <c r="AI31" s="91"/>
      <c r="AJ31" s="91"/>
      <c r="AK31" s="91"/>
      <c r="AL31" s="91"/>
      <c r="AM31" s="91"/>
      <c r="AN31" s="92"/>
    </row>
    <row r="32" spans="1:40">
      <c r="A32" s="100"/>
      <c r="B32" s="101"/>
      <c r="C32" s="101"/>
      <c r="D32" s="101"/>
      <c r="E32" s="102"/>
      <c r="F32" s="100"/>
      <c r="G32" s="101"/>
      <c r="H32" s="101"/>
      <c r="I32" s="101"/>
      <c r="J32" s="101"/>
      <c r="K32" s="101"/>
      <c r="L32" s="102"/>
      <c r="M32" s="93"/>
      <c r="N32" s="91"/>
      <c r="O32" s="91"/>
      <c r="P32" s="91"/>
      <c r="Q32" s="91"/>
      <c r="R32" s="91"/>
      <c r="S32" s="91"/>
      <c r="T32" s="92"/>
      <c r="U32" s="93"/>
      <c r="V32" s="91"/>
      <c r="W32" s="91"/>
      <c r="X32" s="91"/>
      <c r="Y32" s="91"/>
      <c r="Z32" s="91"/>
      <c r="AA32" s="92"/>
      <c r="AB32" s="93"/>
      <c r="AC32" s="91"/>
      <c r="AD32" s="91"/>
      <c r="AE32" s="91"/>
      <c r="AF32" s="91"/>
      <c r="AG32" s="91"/>
      <c r="AH32" s="91"/>
      <c r="AI32" s="91"/>
      <c r="AJ32" s="91"/>
      <c r="AK32" s="91"/>
      <c r="AL32" s="91"/>
      <c r="AM32" s="91"/>
      <c r="AN32" s="92"/>
    </row>
    <row r="33" spans="1:40">
      <c r="A33" s="100"/>
      <c r="B33" s="101"/>
      <c r="C33" s="101"/>
      <c r="D33" s="101"/>
      <c r="E33" s="102"/>
      <c r="F33" s="100"/>
      <c r="G33" s="101"/>
      <c r="H33" s="101"/>
      <c r="I33" s="101"/>
      <c r="J33" s="101"/>
      <c r="K33" s="101"/>
      <c r="L33" s="102"/>
      <c r="M33" s="93"/>
      <c r="N33" s="91"/>
      <c r="O33" s="91"/>
      <c r="P33" s="91"/>
      <c r="Q33" s="91"/>
      <c r="R33" s="91"/>
      <c r="S33" s="91"/>
      <c r="T33" s="92"/>
      <c r="U33" s="93"/>
      <c r="V33" s="91"/>
      <c r="W33" s="91"/>
      <c r="X33" s="91"/>
      <c r="Y33" s="91"/>
      <c r="Z33" s="91"/>
      <c r="AA33" s="92"/>
      <c r="AB33" s="93"/>
      <c r="AC33" s="91"/>
      <c r="AD33" s="91"/>
      <c r="AE33" s="91"/>
      <c r="AF33" s="91"/>
      <c r="AG33" s="91"/>
      <c r="AH33" s="91"/>
      <c r="AI33" s="91"/>
      <c r="AJ33" s="91"/>
      <c r="AK33" s="91"/>
      <c r="AL33" s="91"/>
      <c r="AM33" s="91"/>
      <c r="AN33" s="92"/>
    </row>
    <row r="34" spans="1:40">
      <c r="A34" s="100"/>
      <c r="B34" s="101"/>
      <c r="C34" s="101"/>
      <c r="D34" s="101"/>
      <c r="E34" s="102"/>
      <c r="F34" s="100"/>
      <c r="G34" s="101"/>
      <c r="H34" s="101"/>
      <c r="I34" s="101"/>
      <c r="J34" s="101"/>
      <c r="K34" s="101"/>
      <c r="L34" s="102"/>
      <c r="M34" s="93"/>
      <c r="N34" s="91"/>
      <c r="O34" s="91"/>
      <c r="P34" s="91"/>
      <c r="Q34" s="91"/>
      <c r="R34" s="91"/>
      <c r="S34" s="91"/>
      <c r="T34" s="92"/>
      <c r="U34" s="93"/>
      <c r="V34" s="91"/>
      <c r="W34" s="91"/>
      <c r="X34" s="91"/>
      <c r="Y34" s="91"/>
      <c r="Z34" s="91"/>
      <c r="AA34" s="92"/>
      <c r="AB34" s="93"/>
      <c r="AC34" s="91"/>
      <c r="AD34" s="91"/>
      <c r="AE34" s="91"/>
      <c r="AF34" s="91"/>
      <c r="AG34" s="91"/>
      <c r="AH34" s="91"/>
      <c r="AI34" s="91"/>
      <c r="AJ34" s="91"/>
      <c r="AK34" s="91"/>
      <c r="AL34" s="91"/>
      <c r="AM34" s="91"/>
      <c r="AN34" s="92"/>
    </row>
    <row r="35" spans="1:40">
      <c r="A35" s="100"/>
      <c r="B35" s="101"/>
      <c r="C35" s="101"/>
      <c r="D35" s="101"/>
      <c r="E35" s="102"/>
      <c r="F35" s="100"/>
      <c r="G35" s="101"/>
      <c r="H35" s="101"/>
      <c r="I35" s="101"/>
      <c r="J35" s="101"/>
      <c r="K35" s="101"/>
      <c r="L35" s="102"/>
      <c r="M35" s="93"/>
      <c r="N35" s="91"/>
      <c r="O35" s="91"/>
      <c r="P35" s="91"/>
      <c r="Q35" s="91"/>
      <c r="R35" s="91"/>
      <c r="S35" s="91"/>
      <c r="T35" s="92"/>
      <c r="U35" s="93"/>
      <c r="V35" s="91"/>
      <c r="W35" s="91"/>
      <c r="X35" s="91"/>
      <c r="Y35" s="91"/>
      <c r="Z35" s="91"/>
      <c r="AA35" s="92"/>
      <c r="AB35" s="93"/>
      <c r="AC35" s="91"/>
      <c r="AD35" s="91"/>
      <c r="AE35" s="91"/>
      <c r="AF35" s="91"/>
      <c r="AG35" s="91"/>
      <c r="AH35" s="91"/>
      <c r="AI35" s="91"/>
      <c r="AJ35" s="91"/>
      <c r="AK35" s="91"/>
      <c r="AL35" s="91"/>
      <c r="AM35" s="91"/>
      <c r="AN35" s="92"/>
    </row>
    <row r="36" spans="1:40">
      <c r="A36" s="100"/>
      <c r="B36" s="101"/>
      <c r="C36" s="101"/>
      <c r="D36" s="101"/>
      <c r="E36" s="102"/>
      <c r="F36" s="100"/>
      <c r="G36" s="101"/>
      <c r="H36" s="101"/>
      <c r="I36" s="101"/>
      <c r="J36" s="101"/>
      <c r="K36" s="101"/>
      <c r="L36" s="102"/>
      <c r="M36" s="93"/>
      <c r="N36" s="91"/>
      <c r="O36" s="91"/>
      <c r="P36" s="91"/>
      <c r="Q36" s="91"/>
      <c r="R36" s="91"/>
      <c r="S36" s="91"/>
      <c r="T36" s="92"/>
      <c r="U36" s="93"/>
      <c r="V36" s="91"/>
      <c r="W36" s="91"/>
      <c r="X36" s="91"/>
      <c r="Y36" s="91"/>
      <c r="Z36" s="91"/>
      <c r="AA36" s="92"/>
      <c r="AB36" s="93"/>
      <c r="AC36" s="91"/>
      <c r="AD36" s="91"/>
      <c r="AE36" s="91"/>
      <c r="AF36" s="91"/>
      <c r="AG36" s="91"/>
      <c r="AH36" s="91"/>
      <c r="AI36" s="91"/>
      <c r="AJ36" s="91"/>
      <c r="AK36" s="91"/>
      <c r="AL36" s="91"/>
      <c r="AM36" s="91"/>
      <c r="AN36" s="92"/>
    </row>
    <row r="37" spans="1:40">
      <c r="A37" s="100"/>
      <c r="B37" s="101"/>
      <c r="C37" s="101"/>
      <c r="D37" s="101"/>
      <c r="E37" s="102"/>
      <c r="F37" s="100"/>
      <c r="G37" s="101"/>
      <c r="H37" s="101"/>
      <c r="I37" s="101"/>
      <c r="J37" s="101"/>
      <c r="K37" s="101"/>
      <c r="L37" s="102"/>
      <c r="M37" s="93"/>
      <c r="N37" s="91"/>
      <c r="O37" s="91"/>
      <c r="P37" s="91"/>
      <c r="Q37" s="91"/>
      <c r="R37" s="91"/>
      <c r="S37" s="91"/>
      <c r="T37" s="92"/>
      <c r="U37" s="93"/>
      <c r="V37" s="91"/>
      <c r="W37" s="91"/>
      <c r="X37" s="91"/>
      <c r="Y37" s="91"/>
      <c r="Z37" s="91"/>
      <c r="AA37" s="92"/>
      <c r="AB37" s="93"/>
      <c r="AC37" s="91"/>
      <c r="AD37" s="91"/>
      <c r="AE37" s="91"/>
      <c r="AF37" s="91"/>
      <c r="AG37" s="91"/>
      <c r="AH37" s="91"/>
      <c r="AI37" s="91"/>
      <c r="AJ37" s="91"/>
      <c r="AK37" s="91"/>
      <c r="AL37" s="91"/>
      <c r="AM37" s="91"/>
      <c r="AN37" s="92"/>
    </row>
    <row r="38" spans="1:40">
      <c r="A38" s="100"/>
      <c r="B38" s="101"/>
      <c r="C38" s="101"/>
      <c r="D38" s="101"/>
      <c r="E38" s="102"/>
      <c r="F38" s="100"/>
      <c r="G38" s="101"/>
      <c r="H38" s="101"/>
      <c r="I38" s="101"/>
      <c r="J38" s="101"/>
      <c r="K38" s="101"/>
      <c r="L38" s="102"/>
      <c r="M38" s="93"/>
      <c r="N38" s="91"/>
      <c r="O38" s="91"/>
      <c r="P38" s="91"/>
      <c r="Q38" s="91"/>
      <c r="R38" s="91"/>
      <c r="S38" s="91"/>
      <c r="T38" s="92"/>
      <c r="U38" s="93"/>
      <c r="V38" s="91"/>
      <c r="W38" s="91"/>
      <c r="X38" s="91"/>
      <c r="Y38" s="91"/>
      <c r="Z38" s="91"/>
      <c r="AA38" s="92"/>
      <c r="AB38" s="93"/>
      <c r="AC38" s="91"/>
      <c r="AD38" s="91"/>
      <c r="AE38" s="91"/>
      <c r="AF38" s="91"/>
      <c r="AG38" s="91"/>
      <c r="AH38" s="91"/>
      <c r="AI38" s="91"/>
      <c r="AJ38" s="91"/>
      <c r="AK38" s="91"/>
      <c r="AL38" s="91"/>
      <c r="AM38" s="91"/>
      <c r="AN38" s="92"/>
    </row>
    <row r="39" spans="1:40">
      <c r="A39" s="100"/>
      <c r="B39" s="101"/>
      <c r="C39" s="101"/>
      <c r="D39" s="101"/>
      <c r="E39" s="102"/>
      <c r="F39" s="100"/>
      <c r="G39" s="101"/>
      <c r="H39" s="101"/>
      <c r="I39" s="101"/>
      <c r="J39" s="101"/>
      <c r="K39" s="101"/>
      <c r="L39" s="102"/>
      <c r="M39" s="93"/>
      <c r="N39" s="91"/>
      <c r="O39" s="91"/>
      <c r="P39" s="91"/>
      <c r="Q39" s="91"/>
      <c r="R39" s="91"/>
      <c r="S39" s="91"/>
      <c r="T39" s="92"/>
      <c r="U39" s="93"/>
      <c r="V39" s="91"/>
      <c r="W39" s="91"/>
      <c r="X39" s="91"/>
      <c r="Y39" s="91"/>
      <c r="Z39" s="91"/>
      <c r="AA39" s="92"/>
      <c r="AB39" s="93"/>
      <c r="AC39" s="91"/>
      <c r="AD39" s="91"/>
      <c r="AE39" s="91"/>
      <c r="AF39" s="91"/>
      <c r="AG39" s="91"/>
      <c r="AH39" s="91"/>
      <c r="AI39" s="91"/>
      <c r="AJ39" s="91"/>
      <c r="AK39" s="91"/>
      <c r="AL39" s="91"/>
      <c r="AM39" s="91"/>
      <c r="AN39" s="92"/>
    </row>
    <row r="40" spans="1:40">
      <c r="A40" s="100"/>
      <c r="B40" s="101"/>
      <c r="C40" s="101"/>
      <c r="D40" s="101"/>
      <c r="E40" s="102"/>
      <c r="F40" s="100"/>
      <c r="G40" s="101"/>
      <c r="H40" s="101"/>
      <c r="I40" s="101"/>
      <c r="J40" s="101"/>
      <c r="K40" s="101"/>
      <c r="L40" s="102"/>
      <c r="M40" s="93"/>
      <c r="N40" s="91"/>
      <c r="O40" s="91"/>
      <c r="P40" s="91"/>
      <c r="Q40" s="91"/>
      <c r="R40" s="91"/>
      <c r="S40" s="91"/>
      <c r="T40" s="92"/>
      <c r="U40" s="93"/>
      <c r="V40" s="91"/>
      <c r="W40" s="91"/>
      <c r="X40" s="91"/>
      <c r="Y40" s="91"/>
      <c r="Z40" s="91"/>
      <c r="AA40" s="92"/>
      <c r="AB40" s="93"/>
      <c r="AC40" s="91"/>
      <c r="AD40" s="91"/>
      <c r="AE40" s="91"/>
      <c r="AF40" s="91"/>
      <c r="AG40" s="91"/>
      <c r="AH40" s="91"/>
      <c r="AI40" s="91"/>
      <c r="AJ40" s="91"/>
      <c r="AK40" s="91"/>
      <c r="AL40" s="91"/>
      <c r="AM40" s="91"/>
      <c r="AN40" s="92"/>
    </row>
    <row r="41" spans="1:40">
      <c r="A41" s="100"/>
      <c r="B41" s="101"/>
      <c r="C41" s="101"/>
      <c r="D41" s="101"/>
      <c r="E41" s="102"/>
      <c r="F41" s="100"/>
      <c r="G41" s="101"/>
      <c r="H41" s="101"/>
      <c r="I41" s="101"/>
      <c r="J41" s="101"/>
      <c r="K41" s="101"/>
      <c r="L41" s="102"/>
      <c r="M41" s="93"/>
      <c r="N41" s="91"/>
      <c r="O41" s="91"/>
      <c r="P41" s="91"/>
      <c r="Q41" s="91"/>
      <c r="R41" s="91"/>
      <c r="S41" s="91"/>
      <c r="T41" s="92"/>
      <c r="U41" s="93"/>
      <c r="V41" s="91"/>
      <c r="W41" s="91"/>
      <c r="X41" s="91"/>
      <c r="Y41" s="91"/>
      <c r="Z41" s="91"/>
      <c r="AA41" s="92"/>
      <c r="AB41" s="93"/>
      <c r="AC41" s="91"/>
      <c r="AD41" s="91"/>
      <c r="AE41" s="91"/>
      <c r="AF41" s="91"/>
      <c r="AG41" s="91"/>
      <c r="AH41" s="91"/>
      <c r="AI41" s="91"/>
      <c r="AJ41" s="91"/>
      <c r="AK41" s="91"/>
      <c r="AL41" s="91"/>
      <c r="AM41" s="91"/>
      <c r="AN41" s="92"/>
    </row>
    <row r="42" spans="1:40">
      <c r="A42" s="100"/>
      <c r="B42" s="101"/>
      <c r="C42" s="101"/>
      <c r="D42" s="101"/>
      <c r="E42" s="102"/>
      <c r="F42" s="100"/>
      <c r="G42" s="101"/>
      <c r="H42" s="101"/>
      <c r="I42" s="101"/>
      <c r="J42" s="101"/>
      <c r="K42" s="101"/>
      <c r="L42" s="102"/>
      <c r="M42" s="93"/>
      <c r="N42" s="91"/>
      <c r="O42" s="91"/>
      <c r="P42" s="91"/>
      <c r="Q42" s="91"/>
      <c r="R42" s="91"/>
      <c r="S42" s="91"/>
      <c r="T42" s="92"/>
      <c r="U42" s="93"/>
      <c r="V42" s="91"/>
      <c r="W42" s="91"/>
      <c r="X42" s="91"/>
      <c r="Y42" s="91"/>
      <c r="Z42" s="91"/>
      <c r="AA42" s="92"/>
      <c r="AB42" s="93"/>
      <c r="AC42" s="91"/>
      <c r="AD42" s="91"/>
      <c r="AE42" s="91"/>
      <c r="AF42" s="91"/>
      <c r="AG42" s="91"/>
      <c r="AH42" s="91"/>
      <c r="AI42" s="91"/>
      <c r="AJ42" s="91"/>
      <c r="AK42" s="91"/>
      <c r="AL42" s="91"/>
      <c r="AM42" s="91"/>
      <c r="AN42" s="92"/>
    </row>
    <row r="43" spans="1:40">
      <c r="A43" s="100"/>
      <c r="B43" s="101"/>
      <c r="C43" s="101"/>
      <c r="D43" s="101"/>
      <c r="E43" s="102"/>
      <c r="F43" s="100"/>
      <c r="G43" s="101"/>
      <c r="H43" s="101"/>
      <c r="I43" s="101"/>
      <c r="J43" s="101"/>
      <c r="K43" s="101"/>
      <c r="L43" s="102"/>
      <c r="M43" s="93"/>
      <c r="N43" s="91"/>
      <c r="O43" s="91"/>
      <c r="P43" s="91"/>
      <c r="Q43" s="91"/>
      <c r="R43" s="91"/>
      <c r="S43" s="91"/>
      <c r="T43" s="92"/>
      <c r="U43" s="93"/>
      <c r="V43" s="91"/>
      <c r="W43" s="91"/>
      <c r="X43" s="91"/>
      <c r="Y43" s="91"/>
      <c r="Z43" s="91"/>
      <c r="AA43" s="92"/>
      <c r="AB43" s="93"/>
      <c r="AC43" s="91"/>
      <c r="AD43" s="91"/>
      <c r="AE43" s="91"/>
      <c r="AF43" s="91"/>
      <c r="AG43" s="91"/>
      <c r="AH43" s="91"/>
      <c r="AI43" s="91"/>
      <c r="AJ43" s="91"/>
      <c r="AK43" s="91"/>
      <c r="AL43" s="91"/>
      <c r="AM43" s="91"/>
      <c r="AN43" s="92"/>
    </row>
    <row r="44" spans="1:40" ht="48" customHeight="1">
      <c r="A44" s="100"/>
      <c r="B44" s="101"/>
      <c r="C44" s="101"/>
      <c r="D44" s="101"/>
      <c r="E44" s="102"/>
      <c r="F44" s="100"/>
      <c r="G44" s="101"/>
      <c r="H44" s="101"/>
      <c r="I44" s="101"/>
      <c r="J44" s="101"/>
      <c r="K44" s="101"/>
      <c r="L44" s="102"/>
      <c r="M44" s="94" t="str">
        <f>START!E23</f>
        <v>None</v>
      </c>
      <c r="N44" s="95"/>
      <c r="O44" s="95"/>
      <c r="P44" s="95"/>
      <c r="Q44" s="95"/>
      <c r="R44" s="95"/>
      <c r="S44" s="95"/>
      <c r="T44" s="96"/>
      <c r="U44" s="93" t="str">
        <f>START!O23</f>
        <v>None</v>
      </c>
      <c r="V44" s="91"/>
      <c r="W44" s="91"/>
      <c r="X44" s="91"/>
      <c r="Y44" s="91"/>
      <c r="Z44" s="91"/>
      <c r="AA44" s="92"/>
      <c r="AB44" s="93" t="str">
        <f>START!E33</f>
        <v>None</v>
      </c>
      <c r="AC44" s="91"/>
      <c r="AD44" s="91"/>
      <c r="AE44" s="91"/>
      <c r="AF44" s="91"/>
      <c r="AG44" s="91"/>
      <c r="AH44" s="91"/>
      <c r="AI44" s="91" t="str">
        <f>START!O33</f>
        <v>None</v>
      </c>
      <c r="AJ44" s="91"/>
      <c r="AK44" s="91"/>
      <c r="AL44" s="91"/>
      <c r="AM44" s="91"/>
      <c r="AN44" s="92"/>
    </row>
    <row r="45" spans="1:40">
      <c r="A45" s="100"/>
      <c r="B45" s="101"/>
      <c r="C45" s="101"/>
      <c r="D45" s="101"/>
      <c r="E45" s="102"/>
      <c r="F45" s="100"/>
      <c r="G45" s="101"/>
      <c r="H45" s="101"/>
      <c r="I45" s="101"/>
      <c r="J45" s="101"/>
      <c r="K45" s="101"/>
      <c r="L45" s="102"/>
      <c r="M45" s="94"/>
      <c r="N45" s="95"/>
      <c r="O45" s="95"/>
      <c r="P45" s="95"/>
      <c r="Q45" s="95"/>
      <c r="R45" s="95"/>
      <c r="S45" s="95"/>
      <c r="T45" s="96"/>
      <c r="U45" s="93"/>
      <c r="V45" s="91"/>
      <c r="W45" s="91"/>
      <c r="X45" s="91"/>
      <c r="Y45" s="91"/>
      <c r="Z45" s="91"/>
      <c r="AA45" s="92"/>
      <c r="AB45" s="93"/>
      <c r="AC45" s="91"/>
      <c r="AD45" s="91"/>
      <c r="AE45" s="91"/>
      <c r="AF45" s="91"/>
      <c r="AG45" s="91"/>
      <c r="AH45" s="91"/>
      <c r="AI45" s="91"/>
      <c r="AJ45" s="91"/>
      <c r="AK45" s="91"/>
      <c r="AL45" s="91"/>
      <c r="AM45" s="91"/>
      <c r="AN45" s="92"/>
    </row>
    <row r="46" spans="1:40">
      <c r="A46" s="100"/>
      <c r="B46" s="101"/>
      <c r="C46" s="101"/>
      <c r="D46" s="101"/>
      <c r="E46" s="102"/>
      <c r="F46" s="100"/>
      <c r="G46" s="101"/>
      <c r="H46" s="101"/>
      <c r="I46" s="101"/>
      <c r="J46" s="101"/>
      <c r="K46" s="101"/>
      <c r="L46" s="102"/>
      <c r="M46" s="94"/>
      <c r="N46" s="95"/>
      <c r="O46" s="95"/>
      <c r="P46" s="95"/>
      <c r="Q46" s="95"/>
      <c r="R46" s="95"/>
      <c r="S46" s="95"/>
      <c r="T46" s="96"/>
      <c r="U46" s="93"/>
      <c r="V46" s="91"/>
      <c r="W46" s="91"/>
      <c r="X46" s="91"/>
      <c r="Y46" s="91"/>
      <c r="Z46" s="91"/>
      <c r="AA46" s="92"/>
      <c r="AB46" s="93"/>
      <c r="AC46" s="91"/>
      <c r="AD46" s="91"/>
      <c r="AE46" s="91"/>
      <c r="AF46" s="91"/>
      <c r="AG46" s="91"/>
      <c r="AH46" s="91"/>
      <c r="AI46" s="91"/>
      <c r="AJ46" s="91"/>
      <c r="AK46" s="91"/>
      <c r="AL46" s="91"/>
      <c r="AM46" s="91"/>
      <c r="AN46" s="92"/>
    </row>
    <row r="47" spans="1:40">
      <c r="A47" s="100"/>
      <c r="B47" s="101"/>
      <c r="C47" s="101"/>
      <c r="D47" s="101"/>
      <c r="E47" s="102"/>
      <c r="F47" s="100"/>
      <c r="G47" s="101"/>
      <c r="H47" s="101"/>
      <c r="I47" s="101"/>
      <c r="J47" s="101"/>
      <c r="K47" s="101"/>
      <c r="L47" s="102"/>
      <c r="M47" s="94"/>
      <c r="N47" s="95"/>
      <c r="O47" s="95"/>
      <c r="P47" s="95"/>
      <c r="Q47" s="95"/>
      <c r="R47" s="95"/>
      <c r="S47" s="95"/>
      <c r="T47" s="96"/>
      <c r="U47" s="93"/>
      <c r="V47" s="91"/>
      <c r="W47" s="91"/>
      <c r="X47" s="91"/>
      <c r="Y47" s="91"/>
      <c r="Z47" s="91"/>
      <c r="AA47" s="92"/>
      <c r="AB47" s="93"/>
      <c r="AC47" s="91"/>
      <c r="AD47" s="91"/>
      <c r="AE47" s="91"/>
      <c r="AF47" s="91"/>
      <c r="AG47" s="91"/>
      <c r="AH47" s="91"/>
      <c r="AI47" s="91"/>
      <c r="AJ47" s="91"/>
      <c r="AK47" s="91"/>
      <c r="AL47" s="91"/>
      <c r="AM47" s="91"/>
      <c r="AN47" s="92"/>
    </row>
    <row r="48" spans="1:40">
      <c r="A48" s="100"/>
      <c r="B48" s="101"/>
      <c r="C48" s="101"/>
      <c r="D48" s="101"/>
      <c r="E48" s="102"/>
      <c r="F48" s="100"/>
      <c r="G48" s="101"/>
      <c r="H48" s="101"/>
      <c r="I48" s="101"/>
      <c r="J48" s="101"/>
      <c r="K48" s="101"/>
      <c r="L48" s="102"/>
      <c r="M48" s="94"/>
      <c r="N48" s="95"/>
      <c r="O48" s="95"/>
      <c r="P48" s="95"/>
      <c r="Q48" s="95"/>
      <c r="R48" s="95"/>
      <c r="S48" s="95"/>
      <c r="T48" s="96"/>
      <c r="U48" s="93"/>
      <c r="V48" s="91"/>
      <c r="W48" s="91"/>
      <c r="X48" s="91"/>
      <c r="Y48" s="91"/>
      <c r="Z48" s="91"/>
      <c r="AA48" s="92"/>
      <c r="AB48" s="93"/>
      <c r="AC48" s="91"/>
      <c r="AD48" s="91"/>
      <c r="AE48" s="91"/>
      <c r="AF48" s="91"/>
      <c r="AG48" s="91"/>
      <c r="AH48" s="91"/>
      <c r="AI48" s="91"/>
      <c r="AJ48" s="91"/>
      <c r="AK48" s="91"/>
      <c r="AL48" s="91"/>
      <c r="AM48" s="91"/>
      <c r="AN48" s="92"/>
    </row>
    <row r="49" spans="1:40">
      <c r="A49" s="100"/>
      <c r="B49" s="101"/>
      <c r="C49" s="101"/>
      <c r="D49" s="101"/>
      <c r="E49" s="102"/>
      <c r="F49" s="100"/>
      <c r="G49" s="101"/>
      <c r="H49" s="101"/>
      <c r="I49" s="101"/>
      <c r="J49" s="101"/>
      <c r="K49" s="101"/>
      <c r="L49" s="102"/>
      <c r="M49" s="94"/>
      <c r="N49" s="95"/>
      <c r="O49" s="95"/>
      <c r="P49" s="95"/>
      <c r="Q49" s="95"/>
      <c r="R49" s="95"/>
      <c r="S49" s="95"/>
      <c r="T49" s="96"/>
      <c r="U49" s="93"/>
      <c r="V49" s="91"/>
      <c r="W49" s="91"/>
      <c r="X49" s="91"/>
      <c r="Y49" s="91"/>
      <c r="Z49" s="91"/>
      <c r="AA49" s="92"/>
      <c r="AB49" s="93"/>
      <c r="AC49" s="91"/>
      <c r="AD49" s="91"/>
      <c r="AE49" s="91"/>
      <c r="AF49" s="91"/>
      <c r="AG49" s="91"/>
      <c r="AH49" s="91"/>
      <c r="AI49" s="91"/>
      <c r="AJ49" s="91"/>
      <c r="AK49" s="91"/>
      <c r="AL49" s="91"/>
      <c r="AM49" s="91"/>
      <c r="AN49" s="92"/>
    </row>
    <row r="50" spans="1:40">
      <c r="A50" s="100"/>
      <c r="B50" s="101"/>
      <c r="C50" s="101"/>
      <c r="D50" s="101"/>
      <c r="E50" s="102"/>
      <c r="F50" s="100"/>
      <c r="G50" s="101"/>
      <c r="H50" s="101"/>
      <c r="I50" s="101"/>
      <c r="J50" s="101"/>
      <c r="K50" s="101"/>
      <c r="L50" s="102"/>
      <c r="M50" s="94"/>
      <c r="N50" s="95"/>
      <c r="O50" s="95"/>
      <c r="P50" s="95"/>
      <c r="Q50" s="95"/>
      <c r="R50" s="95"/>
      <c r="S50" s="95"/>
      <c r="T50" s="96"/>
      <c r="U50" s="93"/>
      <c r="V50" s="91"/>
      <c r="W50" s="91"/>
      <c r="X50" s="91"/>
      <c r="Y50" s="91"/>
      <c r="Z50" s="91"/>
      <c r="AA50" s="92"/>
      <c r="AB50" s="93"/>
      <c r="AC50" s="91"/>
      <c r="AD50" s="91"/>
      <c r="AE50" s="91"/>
      <c r="AF50" s="91"/>
      <c r="AG50" s="91"/>
      <c r="AH50" s="91"/>
      <c r="AI50" s="91"/>
      <c r="AJ50" s="91"/>
      <c r="AK50" s="91"/>
      <c r="AL50" s="91"/>
      <c r="AM50" s="91"/>
      <c r="AN50" s="92"/>
    </row>
    <row r="51" spans="1:40">
      <c r="A51" s="100"/>
      <c r="B51" s="101"/>
      <c r="C51" s="101"/>
      <c r="D51" s="101"/>
      <c r="E51" s="102"/>
      <c r="F51" s="100"/>
      <c r="G51" s="101"/>
      <c r="H51" s="101"/>
      <c r="I51" s="101"/>
      <c r="J51" s="101"/>
      <c r="K51" s="101"/>
      <c r="L51" s="102"/>
      <c r="M51" s="94"/>
      <c r="N51" s="95"/>
      <c r="O51" s="95"/>
      <c r="P51" s="95"/>
      <c r="Q51" s="95"/>
      <c r="R51" s="95"/>
      <c r="S51" s="95"/>
      <c r="T51" s="96"/>
      <c r="U51" s="93"/>
      <c r="V51" s="91"/>
      <c r="W51" s="91"/>
      <c r="X51" s="91"/>
      <c r="Y51" s="91"/>
      <c r="Z51" s="91"/>
      <c r="AA51" s="92"/>
      <c r="AB51" s="93"/>
      <c r="AC51" s="91"/>
      <c r="AD51" s="91"/>
      <c r="AE51" s="91"/>
      <c r="AF51" s="91"/>
      <c r="AG51" s="91"/>
      <c r="AH51" s="91"/>
      <c r="AI51" s="91"/>
      <c r="AJ51" s="91"/>
      <c r="AK51" s="91"/>
      <c r="AL51" s="91"/>
      <c r="AM51" s="91"/>
      <c r="AN51" s="92"/>
    </row>
    <row r="52" spans="1:40">
      <c r="A52" s="100"/>
      <c r="B52" s="101"/>
      <c r="C52" s="101"/>
      <c r="D52" s="101"/>
      <c r="E52" s="102"/>
      <c r="F52" s="100"/>
      <c r="G52" s="101"/>
      <c r="H52" s="101"/>
      <c r="I52" s="101"/>
      <c r="J52" s="101"/>
      <c r="K52" s="101"/>
      <c r="L52" s="102"/>
      <c r="M52" s="94"/>
      <c r="N52" s="95"/>
      <c r="O52" s="95"/>
      <c r="P52" s="95"/>
      <c r="Q52" s="95"/>
      <c r="R52" s="95"/>
      <c r="S52" s="95"/>
      <c r="T52" s="96"/>
      <c r="U52" s="93"/>
      <c r="V52" s="91"/>
      <c r="W52" s="91"/>
      <c r="X52" s="91"/>
      <c r="Y52" s="91"/>
      <c r="Z52" s="91"/>
      <c r="AA52" s="92"/>
      <c r="AB52" s="93"/>
      <c r="AC52" s="91"/>
      <c r="AD52" s="91"/>
      <c r="AE52" s="91"/>
      <c r="AF52" s="91"/>
      <c r="AG52" s="91"/>
      <c r="AH52" s="91"/>
      <c r="AI52" s="91"/>
      <c r="AJ52" s="91"/>
      <c r="AK52" s="91"/>
      <c r="AL52" s="91"/>
      <c r="AM52" s="91"/>
      <c r="AN52" s="92"/>
    </row>
    <row r="53" spans="1:40">
      <c r="A53" s="100"/>
      <c r="B53" s="101"/>
      <c r="C53" s="101"/>
      <c r="D53" s="101"/>
      <c r="E53" s="102"/>
      <c r="F53" s="100"/>
      <c r="G53" s="101"/>
      <c r="H53" s="101"/>
      <c r="I53" s="101"/>
      <c r="J53" s="101"/>
      <c r="K53" s="101"/>
      <c r="L53" s="102"/>
      <c r="M53" s="94"/>
      <c r="N53" s="95"/>
      <c r="O53" s="95"/>
      <c r="P53" s="95"/>
      <c r="Q53" s="95"/>
      <c r="R53" s="95"/>
      <c r="S53" s="95"/>
      <c r="T53" s="96"/>
      <c r="U53" s="93"/>
      <c r="V53" s="91"/>
      <c r="W53" s="91"/>
      <c r="X53" s="91"/>
      <c r="Y53" s="91"/>
      <c r="Z53" s="91"/>
      <c r="AA53" s="92"/>
      <c r="AB53" s="93"/>
      <c r="AC53" s="91"/>
      <c r="AD53" s="91"/>
      <c r="AE53" s="91"/>
      <c r="AF53" s="91"/>
      <c r="AG53" s="91"/>
      <c r="AH53" s="91"/>
      <c r="AI53" s="91"/>
      <c r="AJ53" s="91"/>
      <c r="AK53" s="91"/>
      <c r="AL53" s="91"/>
      <c r="AM53" s="91"/>
      <c r="AN53" s="92"/>
    </row>
    <row r="54" spans="1:40">
      <c r="A54" s="16"/>
      <c r="B54" s="17"/>
      <c r="C54" s="17"/>
      <c r="D54" s="17"/>
      <c r="E54" s="19"/>
      <c r="F54" s="16"/>
      <c r="G54" s="17"/>
      <c r="H54" s="17"/>
      <c r="I54" s="17"/>
      <c r="J54" s="17"/>
      <c r="K54" s="17"/>
      <c r="L54" s="19"/>
      <c r="M54" s="23"/>
      <c r="N54" s="24"/>
      <c r="O54" s="24"/>
      <c r="P54" s="24"/>
      <c r="Q54" s="24"/>
      <c r="R54" s="24"/>
      <c r="S54" s="24"/>
      <c r="T54" s="25"/>
      <c r="U54" s="27"/>
      <c r="V54" s="28"/>
      <c r="W54" s="28"/>
      <c r="X54" s="28"/>
      <c r="Y54" s="28"/>
      <c r="Z54" s="28"/>
      <c r="AA54" s="29"/>
      <c r="AB54" s="27"/>
      <c r="AC54" s="28"/>
      <c r="AD54" s="28"/>
      <c r="AE54" s="28"/>
      <c r="AF54" s="28"/>
      <c r="AG54" s="28"/>
      <c r="AH54" s="28"/>
      <c r="AI54" s="28"/>
      <c r="AJ54" s="28"/>
      <c r="AK54" s="28"/>
      <c r="AL54" s="28"/>
      <c r="AM54" s="28"/>
      <c r="AN54" s="29"/>
    </row>
    <row r="55" spans="1:40">
      <c r="A55" s="16"/>
      <c r="B55" s="17"/>
      <c r="C55" s="17"/>
      <c r="D55" s="17"/>
      <c r="E55" s="19"/>
      <c r="F55" s="16"/>
      <c r="G55" s="17"/>
      <c r="H55" s="17"/>
      <c r="I55" s="17"/>
      <c r="J55" s="17"/>
      <c r="K55" s="17"/>
      <c r="L55" s="19"/>
      <c r="M55" s="23"/>
      <c r="N55" s="24"/>
      <c r="O55" s="24"/>
      <c r="P55" s="24"/>
      <c r="Q55" s="24"/>
      <c r="R55" s="24"/>
      <c r="S55" s="24"/>
      <c r="T55" s="25"/>
      <c r="U55" s="27"/>
      <c r="V55" s="28"/>
      <c r="W55" s="28"/>
      <c r="X55" s="28"/>
      <c r="Y55" s="28"/>
      <c r="Z55" s="28"/>
      <c r="AA55" s="29"/>
      <c r="AB55" s="27"/>
      <c r="AC55" s="28"/>
      <c r="AD55" s="28"/>
      <c r="AE55" s="28"/>
      <c r="AF55" s="28"/>
      <c r="AG55" s="28"/>
      <c r="AH55" s="28"/>
      <c r="AI55" s="28"/>
      <c r="AJ55" s="28"/>
      <c r="AK55" s="28"/>
      <c r="AL55" s="28"/>
      <c r="AM55" s="28"/>
      <c r="AN55" s="29"/>
    </row>
    <row r="56" spans="1:40">
      <c r="A56" s="16"/>
      <c r="B56" s="17"/>
      <c r="C56" s="17"/>
      <c r="D56" s="17"/>
      <c r="E56" s="19"/>
      <c r="F56" s="16"/>
      <c r="G56" s="17"/>
      <c r="H56" s="17"/>
      <c r="I56" s="17"/>
      <c r="J56" s="17"/>
      <c r="K56" s="17"/>
      <c r="L56" s="19"/>
      <c r="M56" s="23"/>
      <c r="N56" s="24"/>
      <c r="O56" s="24"/>
      <c r="P56" s="24"/>
      <c r="Q56" s="24"/>
      <c r="R56" s="24"/>
      <c r="S56" s="24"/>
      <c r="T56" s="25"/>
      <c r="U56" s="27"/>
      <c r="V56" s="28"/>
      <c r="W56" s="28"/>
      <c r="X56" s="28"/>
      <c r="Y56" s="28"/>
      <c r="Z56" s="28"/>
      <c r="AA56" s="29"/>
      <c r="AB56" s="27"/>
      <c r="AC56" s="28"/>
      <c r="AD56" s="28"/>
      <c r="AE56" s="28"/>
      <c r="AF56" s="28"/>
      <c r="AG56" s="28"/>
      <c r="AH56" s="28"/>
      <c r="AI56" s="28"/>
      <c r="AJ56" s="28"/>
      <c r="AK56" s="28"/>
      <c r="AL56" s="28"/>
      <c r="AM56" s="28"/>
      <c r="AN56" s="29"/>
    </row>
    <row r="57" spans="1:40">
      <c r="A57" s="16"/>
      <c r="B57" s="17"/>
      <c r="C57" s="17"/>
      <c r="D57" s="17"/>
      <c r="E57" s="19"/>
      <c r="F57" s="16"/>
      <c r="G57" s="17"/>
      <c r="H57" s="17"/>
      <c r="I57" s="17"/>
      <c r="J57" s="17"/>
      <c r="K57" s="17"/>
      <c r="L57" s="19"/>
      <c r="M57" s="16"/>
      <c r="N57" s="17"/>
      <c r="O57" s="17"/>
      <c r="P57" s="17"/>
      <c r="Q57" s="17"/>
      <c r="R57" s="17"/>
      <c r="S57" s="17"/>
      <c r="T57" s="19"/>
      <c r="U57" s="16"/>
      <c r="V57" s="17"/>
      <c r="W57" s="17"/>
      <c r="X57" s="17"/>
      <c r="Y57" s="17"/>
      <c r="Z57" s="17"/>
      <c r="AA57" s="19"/>
      <c r="AB57" s="16"/>
      <c r="AC57" s="17"/>
      <c r="AD57" s="17"/>
      <c r="AE57" s="17"/>
      <c r="AF57" s="17"/>
      <c r="AG57" s="17"/>
      <c r="AH57" s="17"/>
      <c r="AI57" s="17"/>
      <c r="AJ57" s="17"/>
      <c r="AK57" s="17"/>
      <c r="AL57" s="17"/>
      <c r="AM57" s="17"/>
      <c r="AN57" s="19"/>
    </row>
    <row r="58" spans="1:40">
      <c r="A58" s="16"/>
      <c r="B58" s="17"/>
      <c r="C58" s="17"/>
      <c r="D58" s="17"/>
      <c r="E58" s="19"/>
      <c r="F58" s="16"/>
      <c r="G58" s="17"/>
      <c r="H58" s="17"/>
      <c r="I58" s="17"/>
      <c r="J58" s="17"/>
      <c r="K58" s="17"/>
      <c r="L58" s="19"/>
      <c r="M58" s="16"/>
      <c r="N58" s="17"/>
      <c r="O58" s="17"/>
      <c r="P58" s="17"/>
      <c r="Q58" s="17"/>
      <c r="R58" s="17"/>
      <c r="S58" s="17"/>
      <c r="T58" s="19"/>
      <c r="U58" s="16"/>
      <c r="V58" s="17"/>
      <c r="W58" s="17"/>
      <c r="X58" s="17"/>
      <c r="Y58" s="17"/>
      <c r="Z58" s="17"/>
      <c r="AA58" s="19"/>
      <c r="AB58" s="16"/>
      <c r="AC58" s="17"/>
      <c r="AD58" s="17"/>
      <c r="AE58" s="17"/>
      <c r="AF58" s="17"/>
      <c r="AG58" s="17"/>
      <c r="AH58" s="17"/>
      <c r="AI58" s="17"/>
      <c r="AJ58" s="17"/>
      <c r="AK58" s="17"/>
      <c r="AL58" s="17"/>
      <c r="AM58" s="17"/>
      <c r="AN58" s="19"/>
    </row>
    <row r="59" spans="1:40">
      <c r="A59" s="20"/>
      <c r="B59" s="21"/>
      <c r="C59" s="21"/>
      <c r="D59" s="21"/>
      <c r="E59" s="22"/>
      <c r="F59" s="20"/>
      <c r="G59" s="21"/>
      <c r="H59" s="21"/>
      <c r="I59" s="21"/>
      <c r="J59" s="21"/>
      <c r="K59" s="21"/>
      <c r="L59" s="22"/>
      <c r="M59" s="20"/>
      <c r="N59" s="21"/>
      <c r="O59" s="21"/>
      <c r="P59" s="21"/>
      <c r="Q59" s="21"/>
      <c r="R59" s="21"/>
      <c r="S59" s="21"/>
      <c r="T59" s="22"/>
      <c r="U59" s="20"/>
      <c r="V59" s="21"/>
      <c r="W59" s="21"/>
      <c r="X59" s="21"/>
      <c r="Y59" s="21"/>
      <c r="Z59" s="21"/>
      <c r="AA59" s="22"/>
      <c r="AB59" s="20"/>
      <c r="AC59" s="21"/>
      <c r="AD59" s="21"/>
      <c r="AE59" s="21"/>
      <c r="AF59" s="21"/>
      <c r="AG59" s="21"/>
      <c r="AH59" s="21"/>
      <c r="AI59" s="21"/>
      <c r="AJ59" s="21"/>
      <c r="AK59" s="21"/>
      <c r="AL59" s="21"/>
      <c r="AM59" s="21"/>
      <c r="AN59" s="22"/>
    </row>
  </sheetData>
  <sheetProtection algorithmName="SHA-512" hashValue="yKgMegb2w85ByJDszOPipd4OaCbq7xIZ6vU6ResdTkete5OF+O6mHVD60vobcFAjM1cP65dSm+dFuGRa/ZQYmw==" saltValue="Pe3jYuCRseod5VyTw7RcKA==" spinCount="100000" sheet="1" objects="1" scenarios="1"/>
  <mergeCells count="31">
    <mergeCell ref="F30:L53"/>
    <mergeCell ref="A30:E53"/>
    <mergeCell ref="M30:T43"/>
    <mergeCell ref="U30:AA43"/>
    <mergeCell ref="AB30:AH43"/>
    <mergeCell ref="AI30:AN43"/>
    <mergeCell ref="U44:AA53"/>
    <mergeCell ref="AB44:AH53"/>
    <mergeCell ref="AI44:AN53"/>
    <mergeCell ref="M44:T53"/>
    <mergeCell ref="A6:F29"/>
    <mergeCell ref="N6:T29"/>
    <mergeCell ref="G6:M29"/>
    <mergeCell ref="AI6:AN29"/>
    <mergeCell ref="AB6:AH29"/>
    <mergeCell ref="U6:AA29"/>
    <mergeCell ref="F1:AN3"/>
    <mergeCell ref="C1:E1"/>
    <mergeCell ref="C2:E2"/>
    <mergeCell ref="C3:E3"/>
    <mergeCell ref="C4:E4"/>
    <mergeCell ref="F4:T5"/>
    <mergeCell ref="U4:AF5"/>
    <mergeCell ref="AG5:AN5"/>
    <mergeCell ref="AG4:AN4"/>
    <mergeCell ref="C5:E5"/>
    <mergeCell ref="A1:B1"/>
    <mergeCell ref="A2:B2"/>
    <mergeCell ref="A3:B3"/>
    <mergeCell ref="A4:B4"/>
    <mergeCell ref="A5:B5"/>
  </mergeCells>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2:FH1175"/>
  <sheetViews>
    <sheetView topLeftCell="A29" zoomScale="70" zoomScaleNormal="70" zoomScalePageLayoutView="70" workbookViewId="0">
      <selection activeCell="D38" sqref="D38"/>
    </sheetView>
  </sheetViews>
  <sheetFormatPr defaultColWidth="1.140625" defaultRowHeight="15"/>
  <cols>
    <col min="1" max="1" width="36.28515625" style="15" bestFit="1" customWidth="1"/>
    <col min="2" max="2" width="89.42578125" style="15" bestFit="1" customWidth="1"/>
    <col min="3" max="3" width="77.7109375" style="15" bestFit="1" customWidth="1"/>
    <col min="4" max="4" width="57.85546875" style="15" bestFit="1" customWidth="1"/>
    <col min="5" max="8" width="3.85546875" style="15" bestFit="1" customWidth="1"/>
    <col min="9" max="10" width="4.42578125" style="15" bestFit="1" customWidth="1"/>
    <col min="11" max="13" width="5" style="15" bestFit="1" customWidth="1"/>
    <col min="14" max="16" width="1.140625" style="15"/>
    <col min="17" max="17" width="10" style="15" bestFit="1" customWidth="1"/>
    <col min="18" max="161" width="1.140625" style="15"/>
    <col min="162" max="162" width="3.85546875" style="15" bestFit="1" customWidth="1"/>
    <col min="163" max="163" width="5.85546875" style="15" bestFit="1" customWidth="1"/>
    <col min="164" max="164" width="3.85546875" style="15" bestFit="1" customWidth="1"/>
    <col min="165" max="16384" width="1.140625" style="15"/>
  </cols>
  <sheetData>
    <row r="2" spans="1:164">
      <c r="A2" s="104"/>
      <c r="B2" s="104"/>
      <c r="C2" s="104"/>
      <c r="D2" s="104"/>
      <c r="E2" s="104"/>
      <c r="F2" s="104"/>
      <c r="G2" s="104"/>
      <c r="H2" s="104"/>
      <c r="I2" s="104"/>
      <c r="J2" s="104"/>
      <c r="K2" s="104"/>
      <c r="L2" s="104"/>
      <c r="M2" s="104"/>
      <c r="N2" s="104"/>
      <c r="O2" s="104"/>
      <c r="P2" s="104"/>
      <c r="Q2" s="104"/>
      <c r="R2" s="104"/>
      <c r="S2" s="104"/>
      <c r="T2" s="104"/>
      <c r="U2" s="104"/>
      <c r="V2" s="104"/>
      <c r="W2" s="104"/>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row>
    <row r="3" spans="1:164">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row>
    <row r="4" spans="1:164">
      <c r="A4" s="104"/>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v>22</v>
      </c>
      <c r="FG4" s="30">
        <v>1</v>
      </c>
      <c r="FH4" s="30">
        <v>1</v>
      </c>
    </row>
    <row r="5" spans="1:164">
      <c r="A5" s="104"/>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c r="CI5" s="104"/>
      <c r="CJ5" s="104"/>
      <c r="CK5" s="104"/>
      <c r="CL5" s="104"/>
      <c r="CM5" s="104"/>
      <c r="CN5" s="104"/>
      <c r="CO5" s="104"/>
      <c r="CP5" s="104"/>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v>2</v>
      </c>
    </row>
    <row r="6" spans="1:164">
      <c r="A6" s="104"/>
      <c r="B6" s="104"/>
      <c r="C6" s="104"/>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c r="CC6" s="104"/>
      <c r="CD6" s="104"/>
      <c r="CE6" s="104"/>
      <c r="CF6" s="104"/>
      <c r="CG6" s="104"/>
      <c r="CH6" s="104"/>
      <c r="CI6" s="104"/>
      <c r="CJ6" s="104"/>
      <c r="CK6" s="104"/>
      <c r="CL6" s="104"/>
      <c r="CM6" s="104"/>
      <c r="CN6" s="104"/>
      <c r="CO6" s="104"/>
      <c r="CP6" s="104"/>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c r="EA6" s="30"/>
      <c r="EB6" s="30"/>
      <c r="EC6" s="30"/>
      <c r="ED6" s="30"/>
      <c r="EE6" s="30"/>
      <c r="EF6" s="30"/>
      <c r="EG6" s="30"/>
      <c r="EH6" s="30"/>
      <c r="EI6" s="30"/>
      <c r="EJ6" s="30"/>
      <c r="EK6" s="30"/>
      <c r="EL6" s="30"/>
      <c r="EM6" s="30"/>
      <c r="EN6" s="30"/>
      <c r="EO6" s="30"/>
      <c r="EP6" s="30"/>
      <c r="EQ6" s="30"/>
      <c r="ER6" s="30"/>
      <c r="ES6" s="30"/>
      <c r="ET6" s="30"/>
      <c r="EU6" s="30"/>
      <c r="EV6" s="30"/>
      <c r="EW6" s="30"/>
      <c r="EX6" s="30"/>
      <c r="EY6" s="30"/>
      <c r="EZ6" s="30"/>
      <c r="FA6" s="30"/>
      <c r="FB6" s="30"/>
      <c r="FC6" s="30"/>
      <c r="FD6" s="30"/>
      <c r="FE6" s="30"/>
      <c r="FF6" s="30"/>
      <c r="FG6" s="30">
        <v>31</v>
      </c>
      <c r="FH6" s="30">
        <v>3</v>
      </c>
    </row>
    <row r="7" spans="1:164">
      <c r="A7" s="104"/>
      <c r="B7" s="104"/>
      <c r="C7" s="104"/>
      <c r="D7" s="104"/>
      <c r="E7" s="104"/>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c r="AG7" s="104"/>
      <c r="AH7" s="104"/>
      <c r="AI7" s="104"/>
      <c r="AJ7" s="104"/>
      <c r="AK7" s="104"/>
      <c r="AL7" s="104"/>
      <c r="AM7" s="104"/>
      <c r="AN7" s="104"/>
      <c r="AO7" s="104"/>
      <c r="AP7" s="104"/>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c r="CP7" s="104"/>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c r="EA7" s="30"/>
      <c r="EB7" s="30"/>
      <c r="EC7" s="30"/>
      <c r="ED7" s="30"/>
      <c r="EE7" s="30"/>
      <c r="EF7" s="30"/>
      <c r="EG7" s="30"/>
      <c r="EH7" s="30"/>
      <c r="EI7" s="30"/>
      <c r="EJ7" s="30"/>
      <c r="EK7" s="30"/>
      <c r="EL7" s="30"/>
      <c r="EM7" s="30"/>
      <c r="EN7" s="30"/>
      <c r="EO7" s="30"/>
      <c r="EP7" s="30"/>
      <c r="EQ7" s="30"/>
      <c r="ER7" s="30"/>
      <c r="ES7" s="30"/>
      <c r="ET7" s="30"/>
      <c r="EU7" s="30"/>
      <c r="EV7" s="30"/>
      <c r="EW7" s="30"/>
      <c r="EX7" s="30"/>
      <c r="EY7" s="30"/>
      <c r="EZ7" s="30"/>
      <c r="FA7" s="30"/>
      <c r="FB7" s="30"/>
      <c r="FC7" s="30"/>
      <c r="FD7" s="30"/>
      <c r="FE7" s="30"/>
      <c r="FF7" s="30"/>
      <c r="FG7" s="30"/>
      <c r="FH7" s="30">
        <v>4</v>
      </c>
    </row>
    <row r="8" spans="1:164">
      <c r="A8" s="104"/>
      <c r="B8" s="104"/>
      <c r="C8" s="104"/>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104"/>
      <c r="BU8" s="104"/>
      <c r="BV8" s="104"/>
      <c r="BW8" s="104"/>
      <c r="BX8" s="104"/>
      <c r="BY8" s="104"/>
      <c r="BZ8" s="104"/>
      <c r="CA8" s="104"/>
      <c r="CB8" s="104"/>
      <c r="CC8" s="104"/>
      <c r="CD8" s="104"/>
      <c r="CE8" s="104"/>
      <c r="CF8" s="104"/>
      <c r="CG8" s="104"/>
      <c r="CH8" s="104"/>
      <c r="CI8" s="104"/>
      <c r="CJ8" s="104"/>
      <c r="CK8" s="104"/>
      <c r="CL8" s="104"/>
      <c r="CM8" s="104"/>
      <c r="CN8" s="104"/>
      <c r="CO8" s="104"/>
      <c r="CP8" s="104"/>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0"/>
      <c r="EA8" s="30"/>
      <c r="EB8" s="30"/>
      <c r="EC8" s="30"/>
      <c r="ED8" s="30"/>
      <c r="EE8" s="30"/>
      <c r="EF8" s="30"/>
      <c r="EG8" s="30"/>
      <c r="EH8" s="30"/>
      <c r="EI8" s="30"/>
      <c r="EJ8" s="30"/>
      <c r="EK8" s="30"/>
      <c r="EL8" s="30"/>
      <c r="EM8" s="30"/>
      <c r="EN8" s="30"/>
      <c r="EO8" s="30"/>
      <c r="EP8" s="30"/>
      <c r="EQ8" s="30"/>
      <c r="ER8" s="30"/>
      <c r="ES8" s="30"/>
      <c r="ET8" s="30"/>
      <c r="EU8" s="30"/>
      <c r="EV8" s="30"/>
      <c r="EW8" s="30"/>
      <c r="EX8" s="30"/>
      <c r="EY8" s="30"/>
      <c r="EZ8" s="30"/>
      <c r="FA8" s="30"/>
      <c r="FB8" s="30"/>
      <c r="FC8" s="30"/>
      <c r="FD8" s="30"/>
      <c r="FE8" s="30"/>
      <c r="FF8" s="30"/>
      <c r="FG8" s="30">
        <v>32</v>
      </c>
      <c r="FH8" s="30">
        <v>5</v>
      </c>
    </row>
    <row r="9" spans="1:164">
      <c r="A9" s="104"/>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4"/>
      <c r="CH9" s="104"/>
      <c r="CI9" s="104"/>
      <c r="CJ9" s="104"/>
      <c r="CK9" s="104"/>
      <c r="CL9" s="104"/>
      <c r="CM9" s="104"/>
      <c r="CN9" s="104"/>
      <c r="CO9" s="104"/>
      <c r="CP9" s="104"/>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c r="EA9" s="30"/>
      <c r="EB9" s="30"/>
      <c r="EC9" s="30"/>
      <c r="ED9" s="30"/>
      <c r="EE9" s="30"/>
      <c r="EF9" s="30"/>
      <c r="EG9" s="30"/>
      <c r="EH9" s="30"/>
      <c r="EI9" s="30"/>
      <c r="EJ9" s="30"/>
      <c r="EK9" s="30"/>
      <c r="EL9" s="30"/>
      <c r="EM9" s="30"/>
      <c r="EN9" s="30"/>
      <c r="EO9" s="30"/>
      <c r="EP9" s="30"/>
      <c r="EQ9" s="30"/>
      <c r="ER9" s="30"/>
      <c r="ES9" s="30"/>
      <c r="ET9" s="30"/>
      <c r="EU9" s="30"/>
      <c r="EV9" s="30"/>
      <c r="EW9" s="30"/>
      <c r="EX9" s="30"/>
      <c r="EY9" s="30"/>
      <c r="EZ9" s="30"/>
      <c r="FA9" s="30"/>
      <c r="FB9" s="30"/>
      <c r="FC9" s="30"/>
      <c r="FD9" s="30"/>
      <c r="FE9" s="30"/>
      <c r="FF9" s="30"/>
      <c r="FG9" s="30"/>
      <c r="FH9" s="30">
        <v>6</v>
      </c>
    </row>
    <row r="10" spans="1:164">
      <c r="A10" s="104"/>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c r="CI10" s="104"/>
      <c r="CJ10" s="104"/>
      <c r="CK10" s="104"/>
      <c r="CL10" s="104"/>
      <c r="CM10" s="104"/>
      <c r="CN10" s="104"/>
      <c r="CO10" s="104"/>
      <c r="CP10" s="104"/>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30"/>
      <c r="FC10" s="30"/>
      <c r="FD10" s="30"/>
      <c r="FE10" s="30"/>
      <c r="FF10" s="30"/>
      <c r="FG10" s="30">
        <v>33</v>
      </c>
      <c r="FH10" s="30">
        <v>7</v>
      </c>
    </row>
    <row r="11" spans="1:164">
      <c r="A11" s="104"/>
      <c r="B11" s="104"/>
      <c r="C11" s="104"/>
      <c r="D11" s="104"/>
      <c r="E11" s="104"/>
      <c r="F11" s="104"/>
      <c r="G11" s="104"/>
      <c r="H11" s="104"/>
      <c r="I11" s="104"/>
      <c r="J11" s="104"/>
      <c r="K11" s="104"/>
      <c r="L11" s="104"/>
      <c r="M11" s="104"/>
      <c r="N11" s="104"/>
      <c r="O11" s="104"/>
      <c r="P11" s="104"/>
      <c r="Q11" s="104"/>
      <c r="R11" s="104"/>
      <c r="S11" s="104"/>
      <c r="T11" s="104"/>
      <c r="U11" s="104"/>
      <c r="V11" s="104"/>
      <c r="W11" s="104"/>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v>34</v>
      </c>
      <c r="FH11" s="30">
        <v>8</v>
      </c>
    </row>
    <row r="12" spans="1:164">
      <c r="A12" s="104"/>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c r="CI12" s="104"/>
      <c r="CJ12" s="104"/>
      <c r="CK12" s="104"/>
      <c r="CL12" s="104"/>
      <c r="CM12" s="104"/>
      <c r="CN12" s="104"/>
      <c r="CO12" s="104"/>
      <c r="CP12" s="104"/>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v>37</v>
      </c>
      <c r="FH12" s="30">
        <v>9</v>
      </c>
    </row>
    <row r="13" spans="1:164">
      <c r="A13" s="104"/>
      <c r="B13" s="104"/>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c r="CI13" s="104"/>
      <c r="CJ13" s="104"/>
      <c r="CK13" s="104"/>
      <c r="CL13" s="104"/>
      <c r="CM13" s="104"/>
      <c r="CN13" s="104"/>
      <c r="CO13" s="104"/>
      <c r="CP13" s="104"/>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v>38</v>
      </c>
      <c r="FH13" s="30">
        <v>10</v>
      </c>
    </row>
    <row r="14" spans="1:164">
      <c r="A14" s="104"/>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c r="CH14" s="104"/>
      <c r="CI14" s="104"/>
      <c r="CJ14" s="104"/>
      <c r="CK14" s="104"/>
      <c r="CL14" s="104"/>
      <c r="CM14" s="104"/>
      <c r="CN14" s="104"/>
      <c r="CO14" s="104"/>
      <c r="CP14" s="104"/>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v>39</v>
      </c>
      <c r="FH14" s="30">
        <v>11</v>
      </c>
    </row>
    <row r="15" spans="1:164">
      <c r="A15" s="104"/>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c r="CH15" s="104"/>
      <c r="CI15" s="104"/>
      <c r="CJ15" s="104"/>
      <c r="CK15" s="104"/>
      <c r="CL15" s="104"/>
      <c r="CM15" s="104"/>
      <c r="CN15" s="104"/>
      <c r="CO15" s="104"/>
      <c r="CP15" s="104"/>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v>40</v>
      </c>
      <c r="FH15" s="30">
        <v>12</v>
      </c>
    </row>
    <row r="16" spans="1:164">
      <c r="A16" s="104"/>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c r="CI16" s="104"/>
      <c r="CJ16" s="104"/>
      <c r="CK16" s="104"/>
      <c r="CL16" s="104"/>
      <c r="CM16" s="104"/>
      <c r="CN16" s="104"/>
      <c r="CO16" s="104"/>
      <c r="CP16" s="104"/>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v>41</v>
      </c>
      <c r="FH16" s="30">
        <v>13</v>
      </c>
    </row>
    <row r="17" spans="1:164">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4"/>
      <c r="CD17" s="104"/>
      <c r="CE17" s="104"/>
      <c r="CF17" s="104"/>
      <c r="CG17" s="104"/>
      <c r="CH17" s="104"/>
      <c r="CI17" s="104"/>
      <c r="CJ17" s="104"/>
      <c r="CK17" s="104"/>
      <c r="CL17" s="104"/>
      <c r="CM17" s="104"/>
      <c r="CN17" s="104"/>
      <c r="CO17" s="104"/>
      <c r="CP17" s="104"/>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v>42</v>
      </c>
      <c r="FH17" s="30">
        <v>14</v>
      </c>
    </row>
    <row r="18" spans="1:164">
      <c r="A18" s="104"/>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4"/>
      <c r="CD18" s="104"/>
      <c r="CE18" s="104"/>
      <c r="CF18" s="104"/>
      <c r="CG18" s="104"/>
      <c r="CH18" s="104"/>
      <c r="CI18" s="104"/>
      <c r="CJ18" s="104"/>
      <c r="CK18" s="104"/>
      <c r="CL18" s="104"/>
      <c r="CM18" s="104"/>
      <c r="CN18" s="104"/>
      <c r="CO18" s="104"/>
      <c r="CP18" s="104"/>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v>43</v>
      </c>
      <c r="FH18" s="30">
        <v>15</v>
      </c>
    </row>
    <row r="19" spans="1:164">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4"/>
      <c r="CD19" s="104"/>
      <c r="CE19" s="104"/>
      <c r="CF19" s="104"/>
      <c r="CG19" s="104"/>
      <c r="CH19" s="104"/>
      <c r="CI19" s="104"/>
      <c r="CJ19" s="104"/>
      <c r="CK19" s="104"/>
      <c r="CL19" s="104"/>
      <c r="CM19" s="104"/>
      <c r="CN19" s="104"/>
      <c r="CO19" s="104"/>
      <c r="CP19" s="104"/>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c r="EI19" s="30"/>
      <c r="EJ19" s="30"/>
      <c r="EK19" s="30"/>
      <c r="EL19" s="30"/>
      <c r="EM19" s="30"/>
      <c r="EN19" s="30"/>
      <c r="EO19" s="30"/>
      <c r="EP19" s="30"/>
      <c r="EQ19" s="30"/>
      <c r="ER19" s="30"/>
      <c r="ES19" s="30"/>
      <c r="ET19" s="30"/>
      <c r="EU19" s="30"/>
      <c r="EV19" s="30"/>
      <c r="EW19" s="30"/>
      <c r="EX19" s="30"/>
      <c r="EY19" s="30"/>
      <c r="EZ19" s="30"/>
      <c r="FA19" s="30"/>
      <c r="FB19" s="30"/>
      <c r="FC19" s="30"/>
      <c r="FD19" s="30"/>
      <c r="FE19" s="30"/>
      <c r="FF19" s="30"/>
      <c r="FG19" s="30">
        <v>44</v>
      </c>
      <c r="FH19" s="30">
        <v>16</v>
      </c>
    </row>
    <row r="20" spans="1:164">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0"/>
      <c r="FG20" s="30">
        <v>45</v>
      </c>
      <c r="FH20" s="30">
        <v>17</v>
      </c>
    </row>
    <row r="21" spans="1:164">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0"/>
      <c r="FG21" s="30">
        <v>46</v>
      </c>
      <c r="FH21" s="30">
        <v>18</v>
      </c>
    </row>
    <row r="22" spans="1:164">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0"/>
      <c r="FG22" s="30">
        <v>47</v>
      </c>
      <c r="FH22" s="30">
        <v>19</v>
      </c>
    </row>
    <row r="23" spans="1:164">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30"/>
      <c r="EJ23" s="30"/>
      <c r="EK23" s="30"/>
      <c r="EL23" s="30"/>
      <c r="EM23" s="30"/>
      <c r="EN23" s="30"/>
      <c r="EO23" s="30"/>
      <c r="EP23" s="30"/>
      <c r="EQ23" s="30"/>
      <c r="ER23" s="30"/>
      <c r="ES23" s="30"/>
      <c r="ET23" s="30"/>
      <c r="EU23" s="30"/>
      <c r="EV23" s="30"/>
      <c r="EW23" s="30"/>
      <c r="EX23" s="30"/>
      <c r="EY23" s="30"/>
      <c r="EZ23" s="30"/>
      <c r="FA23" s="30"/>
      <c r="FB23" s="30"/>
      <c r="FC23" s="30"/>
      <c r="FD23" s="30"/>
      <c r="FE23" s="30"/>
      <c r="FF23" s="30"/>
      <c r="FG23" s="30">
        <v>48</v>
      </c>
      <c r="FH23" s="30">
        <v>20</v>
      </c>
    </row>
    <row r="24" spans="1:16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c r="EG24" s="30"/>
      <c r="EH24" s="30"/>
      <c r="EI24" s="30"/>
      <c r="EJ24" s="30"/>
      <c r="EK24" s="30"/>
      <c r="EL24" s="30"/>
      <c r="EM24" s="30"/>
      <c r="EN24" s="30"/>
      <c r="EO24" s="30"/>
      <c r="EP24" s="30"/>
      <c r="EQ24" s="30"/>
      <c r="ER24" s="30"/>
      <c r="ES24" s="30"/>
      <c r="ET24" s="30"/>
      <c r="EU24" s="30"/>
      <c r="EV24" s="30"/>
      <c r="EW24" s="30"/>
      <c r="EX24" s="30"/>
      <c r="EY24" s="30"/>
      <c r="EZ24" s="30"/>
      <c r="FA24" s="30"/>
      <c r="FB24" s="30"/>
      <c r="FC24" s="30"/>
      <c r="FD24" s="30"/>
      <c r="FE24" s="30"/>
      <c r="FF24" s="30"/>
      <c r="FG24" s="30">
        <v>49</v>
      </c>
      <c r="FH24" s="30">
        <v>21</v>
      </c>
    </row>
    <row r="25" spans="1:164">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0"/>
      <c r="FG25" s="30">
        <v>50</v>
      </c>
      <c r="FH25" s="30">
        <v>22</v>
      </c>
    </row>
    <row r="26" spans="1:164">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v>51</v>
      </c>
      <c r="FH26" s="30">
        <v>23</v>
      </c>
    </row>
    <row r="27" spans="1:164">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0"/>
      <c r="FG27" s="30">
        <v>52</v>
      </c>
      <c r="FH27" s="30">
        <v>24</v>
      </c>
    </row>
    <row r="28" spans="1:164">
      <c r="A28" s="30" t="s">
        <v>11</v>
      </c>
      <c r="B28" s="30" t="s">
        <v>16</v>
      </c>
      <c r="C28" s="30" t="s">
        <v>17</v>
      </c>
      <c r="D28" s="30" t="s">
        <v>18</v>
      </c>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30"/>
      <c r="EO28" s="30"/>
      <c r="EP28" s="30"/>
      <c r="EQ28" s="30"/>
      <c r="ER28" s="30"/>
      <c r="ES28" s="30"/>
      <c r="ET28" s="30"/>
      <c r="EU28" s="30"/>
      <c r="EV28" s="30"/>
      <c r="EW28" s="30"/>
      <c r="EX28" s="30"/>
      <c r="EY28" s="30"/>
      <c r="EZ28" s="30"/>
      <c r="FA28" s="30"/>
      <c r="FB28" s="30"/>
      <c r="FC28" s="30"/>
      <c r="FD28" s="30"/>
      <c r="FE28" s="30"/>
      <c r="FF28" s="30"/>
      <c r="FG28" s="30">
        <v>53</v>
      </c>
      <c r="FH28" s="30">
        <v>25</v>
      </c>
    </row>
    <row r="29" spans="1:164">
      <c r="A29" s="30">
        <v>0</v>
      </c>
      <c r="B29" s="30">
        <v>100</v>
      </c>
      <c r="C29" s="30">
        <v>500</v>
      </c>
      <c r="D29" s="30">
        <v>1500</v>
      </c>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30"/>
      <c r="EO29" s="30"/>
      <c r="EP29" s="30"/>
      <c r="EQ29" s="30"/>
      <c r="ER29" s="30"/>
      <c r="ES29" s="30"/>
      <c r="ET29" s="30"/>
      <c r="EU29" s="30"/>
      <c r="EV29" s="30"/>
      <c r="EW29" s="30"/>
      <c r="EX29" s="30"/>
      <c r="EY29" s="30"/>
      <c r="EZ29" s="30"/>
      <c r="FA29" s="30"/>
      <c r="FB29" s="30"/>
      <c r="FC29" s="30"/>
      <c r="FD29" s="30"/>
      <c r="FE29" s="30"/>
      <c r="FF29" s="30"/>
      <c r="FG29" s="30">
        <v>54</v>
      </c>
      <c r="FH29" s="30">
        <v>26</v>
      </c>
    </row>
    <row r="30" spans="1:164">
      <c r="A30" s="30" t="s">
        <v>11</v>
      </c>
      <c r="B30" s="30" t="s">
        <v>16</v>
      </c>
      <c r="C30" s="30" t="s">
        <v>17</v>
      </c>
      <c r="D30" s="30" t="s">
        <v>18</v>
      </c>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30"/>
      <c r="EJ30" s="30"/>
      <c r="EK30" s="30"/>
      <c r="EL30" s="30"/>
      <c r="EM30" s="30"/>
      <c r="EN30" s="30"/>
      <c r="EO30" s="30"/>
      <c r="EP30" s="30"/>
      <c r="EQ30" s="30"/>
      <c r="ER30" s="30"/>
      <c r="ES30" s="30"/>
      <c r="ET30" s="30"/>
      <c r="EU30" s="30"/>
      <c r="EV30" s="30"/>
      <c r="EW30" s="30"/>
      <c r="EX30" s="30"/>
      <c r="EY30" s="30"/>
      <c r="EZ30" s="30"/>
      <c r="FA30" s="30"/>
      <c r="FB30" s="30"/>
      <c r="FC30" s="30"/>
      <c r="FD30" s="30"/>
      <c r="FE30" s="30"/>
      <c r="FF30" s="30"/>
      <c r="FG30" s="30">
        <v>55</v>
      </c>
      <c r="FH30" s="30">
        <v>27</v>
      </c>
    </row>
    <row r="31" spans="1:164" ht="108">
      <c r="A31" s="30" t="s">
        <v>19</v>
      </c>
      <c r="B31" s="30" t="s">
        <v>20</v>
      </c>
      <c r="C31" s="30" t="s">
        <v>21</v>
      </c>
      <c r="D31" s="30" t="s">
        <v>22</v>
      </c>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30"/>
      <c r="EJ31" s="30"/>
      <c r="EK31" s="30"/>
      <c r="EL31" s="30"/>
      <c r="EM31" s="30"/>
      <c r="EN31" s="30"/>
      <c r="EO31" s="30"/>
      <c r="EP31" s="30"/>
      <c r="EQ31" s="30"/>
      <c r="ER31" s="30"/>
      <c r="ES31" s="30"/>
      <c r="ET31" s="30"/>
      <c r="EU31" s="30"/>
      <c r="EV31" s="30"/>
      <c r="EW31" s="30"/>
      <c r="EX31" s="30"/>
      <c r="EY31" s="30"/>
      <c r="EZ31" s="30"/>
      <c r="FA31" s="30"/>
      <c r="FB31" s="30"/>
      <c r="FC31" s="30"/>
      <c r="FD31" s="30"/>
      <c r="FE31" s="30"/>
      <c r="FF31" s="30"/>
      <c r="FG31" s="30">
        <v>56</v>
      </c>
      <c r="FH31" s="30">
        <v>28</v>
      </c>
    </row>
    <row r="32" spans="1:164">
      <c r="A32" s="30" t="s">
        <v>11</v>
      </c>
      <c r="B32" s="30" t="s">
        <v>16</v>
      </c>
      <c r="C32" s="30" t="s">
        <v>17</v>
      </c>
      <c r="D32" s="30" t="s">
        <v>18</v>
      </c>
      <c r="E32" s="30">
        <v>25</v>
      </c>
      <c r="F32" s="30">
        <v>25</v>
      </c>
      <c r="G32" s="30">
        <v>25</v>
      </c>
      <c r="H32" s="30">
        <v>25</v>
      </c>
      <c r="I32" s="30">
        <v>100</v>
      </c>
      <c r="J32" s="30">
        <v>100</v>
      </c>
      <c r="K32" s="30">
        <v>200</v>
      </c>
      <c r="L32" s="30">
        <v>250</v>
      </c>
      <c r="M32" s="30">
        <v>300</v>
      </c>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30"/>
      <c r="EJ32" s="30"/>
      <c r="EK32" s="30"/>
      <c r="EL32" s="30"/>
      <c r="EM32" s="30"/>
      <c r="EN32" s="30"/>
      <c r="EO32" s="30"/>
      <c r="EP32" s="30"/>
      <c r="EQ32" s="30"/>
      <c r="ER32" s="30"/>
      <c r="ES32" s="30"/>
      <c r="ET32" s="30"/>
      <c r="EU32" s="30"/>
      <c r="EV32" s="30"/>
      <c r="EW32" s="30"/>
      <c r="EX32" s="30"/>
      <c r="EY32" s="30"/>
      <c r="EZ32" s="30"/>
      <c r="FA32" s="30"/>
      <c r="FB32" s="30"/>
      <c r="FC32" s="30"/>
      <c r="FD32" s="30"/>
      <c r="FE32" s="30"/>
      <c r="FF32" s="30"/>
      <c r="FG32" s="30">
        <v>57</v>
      </c>
      <c r="FH32" s="30">
        <v>29</v>
      </c>
    </row>
    <row r="33" spans="1:164">
      <c r="A33" s="30">
        <v>0</v>
      </c>
      <c r="B33" s="30">
        <f>SUM(10*START!B4)</f>
        <v>50</v>
      </c>
      <c r="C33" s="30">
        <f>SUM(20*START!B4)</f>
        <v>100</v>
      </c>
      <c r="D33" s="30">
        <f>SUM(30*START!B4)</f>
        <v>150</v>
      </c>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30"/>
      <c r="EJ33" s="30"/>
      <c r="EK33" s="30"/>
      <c r="EL33" s="30"/>
      <c r="EM33" s="30"/>
      <c r="EN33" s="30"/>
      <c r="EO33" s="30"/>
      <c r="EP33" s="30"/>
      <c r="EQ33" s="30"/>
      <c r="ER33" s="30"/>
      <c r="ES33" s="30"/>
      <c r="ET33" s="30"/>
      <c r="EU33" s="30"/>
      <c r="EV33" s="30"/>
      <c r="EW33" s="30"/>
      <c r="EX33" s="30"/>
      <c r="EY33" s="30"/>
      <c r="EZ33" s="30"/>
      <c r="FA33" s="30"/>
      <c r="FB33" s="30"/>
      <c r="FC33" s="30"/>
      <c r="FD33" s="30"/>
      <c r="FE33" s="30"/>
      <c r="FF33" s="30"/>
      <c r="FG33" s="30">
        <v>58</v>
      </c>
      <c r="FH33" s="30">
        <v>30</v>
      </c>
    </row>
    <row r="34" spans="1:164">
      <c r="A34" s="30">
        <v>0</v>
      </c>
      <c r="B34" s="30">
        <v>0</v>
      </c>
      <c r="C34" s="30">
        <v>0</v>
      </c>
      <c r="D34" s="30">
        <v>1</v>
      </c>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30"/>
      <c r="EJ34" s="30"/>
      <c r="EK34" s="30"/>
      <c r="EL34" s="30"/>
      <c r="EM34" s="30"/>
      <c r="EN34" s="30"/>
      <c r="EO34" s="30"/>
      <c r="EP34" s="30"/>
      <c r="EQ34" s="30"/>
      <c r="ER34" s="30"/>
      <c r="ES34" s="30"/>
      <c r="ET34" s="30"/>
      <c r="EU34" s="30"/>
      <c r="EV34" s="30"/>
      <c r="EW34" s="30"/>
      <c r="EX34" s="30"/>
      <c r="EY34" s="30"/>
      <c r="EZ34" s="30"/>
      <c r="FA34" s="30"/>
      <c r="FB34" s="30"/>
      <c r="FC34" s="30"/>
      <c r="FD34" s="30"/>
      <c r="FE34" s="30"/>
      <c r="FF34" s="30"/>
      <c r="FG34" s="30">
        <v>59</v>
      </c>
      <c r="FH34" s="30"/>
    </row>
    <row r="35" spans="1:164">
      <c r="A35" s="30">
        <v>0</v>
      </c>
      <c r="B35" s="30">
        <v>0</v>
      </c>
      <c r="C35" s="30">
        <v>0</v>
      </c>
      <c r="D35" s="30">
        <v>1</v>
      </c>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30"/>
      <c r="EJ35" s="30"/>
      <c r="EK35" s="30"/>
      <c r="EL35" s="30"/>
      <c r="EM35" s="30"/>
      <c r="EN35" s="30"/>
      <c r="EO35" s="30"/>
      <c r="EP35" s="30"/>
      <c r="EQ35" s="30"/>
      <c r="ER35" s="30"/>
      <c r="ES35" s="30"/>
      <c r="ET35" s="30"/>
      <c r="EU35" s="30"/>
      <c r="EV35" s="30"/>
      <c r="EW35" s="30"/>
      <c r="EX35" s="30"/>
      <c r="EY35" s="30"/>
      <c r="EZ35" s="30"/>
      <c r="FA35" s="30"/>
      <c r="FB35" s="30"/>
      <c r="FC35" s="30"/>
      <c r="FD35" s="30"/>
      <c r="FE35" s="30"/>
      <c r="FF35" s="30"/>
      <c r="FG35" s="30">
        <v>60</v>
      </c>
      <c r="FH35" s="30"/>
    </row>
    <row r="36" spans="1:164">
      <c r="A36" s="30">
        <v>0</v>
      </c>
      <c r="B36" s="30">
        <v>0</v>
      </c>
      <c r="C36" s="30">
        <v>0</v>
      </c>
      <c r="D36" s="30">
        <v>1</v>
      </c>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30"/>
      <c r="EJ36" s="30"/>
      <c r="EK36" s="30"/>
      <c r="EL36" s="30"/>
      <c r="EM36" s="30"/>
      <c r="EN36" s="30"/>
      <c r="EO36" s="30"/>
      <c r="EP36" s="30"/>
      <c r="EQ36" s="30"/>
      <c r="ER36" s="30"/>
      <c r="ES36" s="30"/>
      <c r="ET36" s="30"/>
      <c r="EU36" s="30"/>
      <c r="EV36" s="30"/>
      <c r="EW36" s="30"/>
      <c r="EX36" s="30"/>
      <c r="EY36" s="30"/>
      <c r="EZ36" s="30"/>
      <c r="FA36" s="30"/>
      <c r="FB36" s="30"/>
      <c r="FC36" s="30"/>
      <c r="FD36" s="30"/>
      <c r="FE36" s="30"/>
      <c r="FF36" s="30"/>
      <c r="FG36" s="30">
        <v>61</v>
      </c>
      <c r="FH36" s="30"/>
    </row>
    <row r="37" spans="1:164">
      <c r="A37" s="30">
        <v>0</v>
      </c>
      <c r="B37" s="30">
        <v>0</v>
      </c>
      <c r="C37" s="30">
        <v>0</v>
      </c>
      <c r="D37" s="30">
        <v>1</v>
      </c>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30"/>
      <c r="EJ37" s="30"/>
      <c r="EK37" s="30"/>
      <c r="EL37" s="30"/>
      <c r="EM37" s="30"/>
      <c r="EN37" s="30"/>
      <c r="EO37" s="30"/>
      <c r="EP37" s="30"/>
      <c r="EQ37" s="30"/>
      <c r="ER37" s="30"/>
      <c r="ES37" s="30"/>
      <c r="ET37" s="30"/>
      <c r="EU37" s="30"/>
      <c r="EV37" s="30"/>
      <c r="EW37" s="30"/>
      <c r="EX37" s="30"/>
      <c r="EY37" s="30"/>
      <c r="EZ37" s="30"/>
      <c r="FA37" s="30"/>
      <c r="FB37" s="30"/>
      <c r="FC37" s="30"/>
      <c r="FD37" s="30"/>
      <c r="FE37" s="30"/>
      <c r="FF37" s="30"/>
      <c r="FG37" s="30">
        <v>62</v>
      </c>
      <c r="FH37" s="30"/>
    </row>
    <row r="38" spans="1:164">
      <c r="A38" s="30">
        <v>0</v>
      </c>
      <c r="B38" s="30">
        <v>0</v>
      </c>
      <c r="C38" s="30">
        <f>1+START!B4</f>
        <v>6</v>
      </c>
      <c r="D38" s="30">
        <f>1+START!B4</f>
        <v>6</v>
      </c>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30"/>
      <c r="EJ38" s="30"/>
      <c r="EK38" s="30"/>
      <c r="EL38" s="30"/>
      <c r="EM38" s="30"/>
      <c r="EN38" s="30"/>
      <c r="EO38" s="30"/>
      <c r="EP38" s="30"/>
      <c r="EQ38" s="30"/>
      <c r="ER38" s="30"/>
      <c r="ES38" s="30"/>
      <c r="ET38" s="30"/>
      <c r="EU38" s="30"/>
      <c r="EV38" s="30"/>
      <c r="EW38" s="30"/>
      <c r="EX38" s="30"/>
      <c r="EY38" s="30"/>
      <c r="EZ38" s="30"/>
      <c r="FA38" s="30"/>
      <c r="FB38" s="30"/>
      <c r="FC38" s="30"/>
      <c r="FD38" s="30"/>
      <c r="FE38" s="30"/>
      <c r="FF38" s="30"/>
      <c r="FG38" s="30">
        <v>63</v>
      </c>
      <c r="FH38" s="30"/>
    </row>
    <row r="39" spans="1:164">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30"/>
      <c r="EJ39" s="30"/>
      <c r="EK39" s="30"/>
      <c r="EL39" s="30"/>
      <c r="EM39" s="30"/>
      <c r="EN39" s="30"/>
      <c r="EO39" s="30"/>
      <c r="EP39" s="30"/>
      <c r="EQ39" s="30"/>
      <c r="ER39" s="30"/>
      <c r="ES39" s="30"/>
      <c r="ET39" s="30"/>
      <c r="EU39" s="30"/>
      <c r="EV39" s="30"/>
      <c r="EW39" s="30"/>
      <c r="EX39" s="30"/>
      <c r="EY39" s="30"/>
      <c r="EZ39" s="30"/>
      <c r="FA39" s="30"/>
      <c r="FB39" s="30"/>
      <c r="FC39" s="30"/>
      <c r="FD39" s="30"/>
      <c r="FE39" s="30"/>
      <c r="FF39" s="30"/>
      <c r="FG39" s="30">
        <v>64</v>
      </c>
      <c r="FH39" s="30"/>
    </row>
    <row r="40" spans="1:164">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30"/>
      <c r="EJ40" s="30"/>
      <c r="EK40" s="30"/>
      <c r="EL40" s="30"/>
      <c r="EM40" s="30"/>
      <c r="EN40" s="30"/>
      <c r="EO40" s="30"/>
      <c r="EP40" s="30"/>
      <c r="EQ40" s="30"/>
      <c r="ER40" s="30"/>
      <c r="ES40" s="30"/>
      <c r="ET40" s="30"/>
      <c r="EU40" s="30"/>
      <c r="EV40" s="30"/>
      <c r="EW40" s="30"/>
      <c r="EX40" s="30"/>
      <c r="EY40" s="30"/>
      <c r="EZ40" s="30"/>
      <c r="FA40" s="30"/>
      <c r="FB40" s="30"/>
      <c r="FC40" s="30"/>
      <c r="FD40" s="30"/>
      <c r="FE40" s="30"/>
      <c r="FF40" s="30"/>
      <c r="FG40" s="30">
        <v>65</v>
      </c>
      <c r="FH40" s="30"/>
    </row>
    <row r="41" spans="1:164">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30"/>
      <c r="EJ41" s="30"/>
      <c r="EK41" s="30"/>
      <c r="EL41" s="30"/>
      <c r="EM41" s="30"/>
      <c r="EN41" s="30"/>
      <c r="EO41" s="30"/>
      <c r="EP41" s="30"/>
      <c r="EQ41" s="30"/>
      <c r="ER41" s="30"/>
      <c r="ES41" s="30"/>
      <c r="ET41" s="30"/>
      <c r="EU41" s="30"/>
      <c r="EV41" s="30"/>
      <c r="EW41" s="30"/>
      <c r="EX41" s="30"/>
      <c r="EY41" s="30"/>
      <c r="EZ41" s="30"/>
      <c r="FA41" s="30"/>
      <c r="FB41" s="30"/>
      <c r="FC41" s="30"/>
      <c r="FD41" s="30"/>
      <c r="FE41" s="30"/>
      <c r="FF41" s="30"/>
      <c r="FG41" s="30">
        <v>66</v>
      </c>
      <c r="FH41" s="30"/>
    </row>
    <row r="42" spans="1:164">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30"/>
      <c r="EJ42" s="30"/>
      <c r="EK42" s="30"/>
      <c r="EL42" s="30"/>
      <c r="EM42" s="30"/>
      <c r="EN42" s="30"/>
      <c r="EO42" s="30"/>
      <c r="EP42" s="30"/>
      <c r="EQ42" s="30"/>
      <c r="ER42" s="30"/>
      <c r="ES42" s="30"/>
      <c r="ET42" s="30"/>
      <c r="EU42" s="30"/>
      <c r="EV42" s="30"/>
      <c r="EW42" s="30"/>
      <c r="EX42" s="30"/>
      <c r="EY42" s="30"/>
      <c r="EZ42" s="30"/>
      <c r="FA42" s="30"/>
      <c r="FB42" s="30"/>
      <c r="FC42" s="30"/>
      <c r="FD42" s="30"/>
      <c r="FE42" s="30"/>
      <c r="FF42" s="30"/>
      <c r="FG42" s="30">
        <v>67</v>
      </c>
      <c r="FH42" s="30"/>
    </row>
    <row r="43" spans="1:164">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30"/>
      <c r="EJ43" s="30"/>
      <c r="EK43" s="30"/>
      <c r="EL43" s="30"/>
      <c r="EM43" s="30"/>
      <c r="EN43" s="30"/>
      <c r="EO43" s="30"/>
      <c r="EP43" s="30"/>
      <c r="EQ43" s="30"/>
      <c r="ER43" s="30"/>
      <c r="ES43" s="30"/>
      <c r="ET43" s="30"/>
      <c r="EU43" s="30"/>
      <c r="EV43" s="30"/>
      <c r="EW43" s="30"/>
      <c r="EX43" s="30"/>
      <c r="EY43" s="30"/>
      <c r="EZ43" s="30"/>
      <c r="FA43" s="30"/>
      <c r="FB43" s="30"/>
      <c r="FC43" s="30"/>
      <c r="FD43" s="30"/>
      <c r="FE43" s="30"/>
      <c r="FF43" s="30"/>
      <c r="FG43" s="30">
        <v>68</v>
      </c>
      <c r="FH43" s="30"/>
    </row>
    <row r="44" spans="1:16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c r="EC44" s="30"/>
      <c r="ED44" s="30"/>
      <c r="EE44" s="30"/>
      <c r="EF44" s="30"/>
      <c r="EG44" s="30"/>
      <c r="EH44" s="30"/>
      <c r="EI44" s="30"/>
      <c r="EJ44" s="30"/>
      <c r="EK44" s="30"/>
      <c r="EL44" s="30"/>
      <c r="EM44" s="30"/>
      <c r="EN44" s="30"/>
      <c r="EO44" s="30"/>
      <c r="EP44" s="30"/>
      <c r="EQ44" s="30"/>
      <c r="ER44" s="30"/>
      <c r="ES44" s="30"/>
      <c r="ET44" s="30"/>
      <c r="EU44" s="30"/>
      <c r="EV44" s="30"/>
      <c r="EW44" s="30"/>
      <c r="EX44" s="30"/>
      <c r="EY44" s="30"/>
      <c r="EZ44" s="30"/>
      <c r="FA44" s="30"/>
      <c r="FB44" s="30"/>
      <c r="FC44" s="30"/>
      <c r="FD44" s="30"/>
      <c r="FE44" s="30"/>
      <c r="FF44" s="30"/>
      <c r="FG44" s="30">
        <v>69</v>
      </c>
      <c r="FH44" s="30"/>
    </row>
    <row r="45" spans="1:164">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30"/>
      <c r="EJ45" s="30"/>
      <c r="EK45" s="30"/>
      <c r="EL45" s="30"/>
      <c r="EM45" s="30"/>
      <c r="EN45" s="30"/>
      <c r="EO45" s="30"/>
      <c r="EP45" s="30"/>
      <c r="EQ45" s="30"/>
      <c r="ER45" s="30"/>
      <c r="ES45" s="30"/>
      <c r="ET45" s="30"/>
      <c r="EU45" s="30"/>
      <c r="EV45" s="30"/>
      <c r="EW45" s="30"/>
      <c r="EX45" s="30"/>
      <c r="EY45" s="30"/>
      <c r="EZ45" s="30"/>
      <c r="FA45" s="30"/>
      <c r="FB45" s="30"/>
      <c r="FC45" s="30"/>
      <c r="FD45" s="30"/>
      <c r="FE45" s="30"/>
      <c r="FF45" s="30"/>
      <c r="FG45" s="30">
        <v>70</v>
      </c>
      <c r="FH45" s="30"/>
    </row>
    <row r="46" spans="1:164">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30"/>
      <c r="EJ46" s="30"/>
      <c r="EK46" s="30"/>
      <c r="EL46" s="30"/>
      <c r="EM46" s="30"/>
      <c r="EN46" s="30"/>
      <c r="EO46" s="30"/>
      <c r="EP46" s="30"/>
      <c r="EQ46" s="30"/>
      <c r="ER46" s="30"/>
      <c r="ES46" s="30"/>
      <c r="ET46" s="30"/>
      <c r="EU46" s="30"/>
      <c r="EV46" s="30"/>
      <c r="EW46" s="30"/>
      <c r="EX46" s="30"/>
      <c r="EY46" s="30"/>
      <c r="EZ46" s="30"/>
      <c r="FA46" s="30"/>
      <c r="FB46" s="30"/>
      <c r="FC46" s="30"/>
      <c r="FD46" s="30"/>
      <c r="FE46" s="30"/>
      <c r="FF46" s="30"/>
      <c r="FG46" s="30">
        <v>71</v>
      </c>
      <c r="FH46" s="30"/>
    </row>
    <row r="47" spans="1:164">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30"/>
      <c r="EJ47" s="30"/>
      <c r="EK47" s="30"/>
      <c r="EL47" s="30"/>
      <c r="EM47" s="30"/>
      <c r="EN47" s="30"/>
      <c r="EO47" s="30"/>
      <c r="EP47" s="30"/>
      <c r="EQ47" s="30"/>
      <c r="ER47" s="30"/>
      <c r="ES47" s="30"/>
      <c r="ET47" s="30"/>
      <c r="EU47" s="30"/>
      <c r="EV47" s="30"/>
      <c r="EW47" s="30"/>
      <c r="EX47" s="30"/>
      <c r="EY47" s="30"/>
      <c r="EZ47" s="30"/>
      <c r="FA47" s="30"/>
      <c r="FB47" s="30"/>
      <c r="FC47" s="30"/>
      <c r="FD47" s="30"/>
      <c r="FE47" s="30"/>
      <c r="FF47" s="30"/>
      <c r="FG47" s="30">
        <v>72</v>
      </c>
      <c r="FH47" s="30"/>
    </row>
    <row r="48" spans="1:164">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30"/>
      <c r="EJ48" s="30"/>
      <c r="EK48" s="30"/>
      <c r="EL48" s="30"/>
      <c r="EM48" s="30"/>
      <c r="EN48" s="30"/>
      <c r="EO48" s="30"/>
      <c r="EP48" s="30"/>
      <c r="EQ48" s="30"/>
      <c r="ER48" s="30"/>
      <c r="ES48" s="30"/>
      <c r="ET48" s="30"/>
      <c r="EU48" s="30"/>
      <c r="EV48" s="30"/>
      <c r="EW48" s="30"/>
      <c r="EX48" s="30"/>
      <c r="EY48" s="30"/>
      <c r="EZ48" s="30"/>
      <c r="FA48" s="30"/>
      <c r="FB48" s="30"/>
      <c r="FC48" s="30"/>
      <c r="FD48" s="30"/>
      <c r="FE48" s="30"/>
      <c r="FF48" s="30"/>
      <c r="FG48" s="30">
        <v>73</v>
      </c>
      <c r="FH48" s="30"/>
    </row>
    <row r="49" spans="17:163">
      <c r="Q49" s="30" t="e">
        <f>VLOOKUP(B31,STUFF!A17:B46,2,FALSE)</f>
        <v>#VALUE!</v>
      </c>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30"/>
      <c r="EJ49" s="30"/>
      <c r="EK49" s="30"/>
      <c r="EL49" s="30"/>
      <c r="EM49" s="30"/>
      <c r="EN49" s="30"/>
      <c r="EO49" s="30"/>
      <c r="EP49" s="30"/>
      <c r="EQ49" s="30"/>
      <c r="ER49" s="30"/>
      <c r="ES49" s="30"/>
      <c r="ET49" s="30"/>
      <c r="EU49" s="30"/>
      <c r="EV49" s="30"/>
      <c r="EW49" s="30"/>
      <c r="EX49" s="30"/>
      <c r="EY49" s="30"/>
      <c r="EZ49" s="30"/>
      <c r="FA49" s="30"/>
      <c r="FB49" s="30"/>
      <c r="FC49" s="30"/>
      <c r="FD49" s="30"/>
      <c r="FE49" s="30"/>
      <c r="FF49" s="30"/>
      <c r="FG49" s="30">
        <v>74</v>
      </c>
    </row>
    <row r="50" spans="17:163">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c r="CE50" s="30"/>
      <c r="CF50" s="30"/>
      <c r="CG50" s="30"/>
      <c r="CH50" s="30"/>
      <c r="CI50" s="30"/>
      <c r="CJ50" s="30"/>
      <c r="CK50" s="30"/>
      <c r="CL50" s="30"/>
      <c r="CM50" s="30"/>
      <c r="CN50" s="30"/>
      <c r="CO50" s="30"/>
      <c r="CP50" s="30"/>
      <c r="CQ50" s="30"/>
      <c r="CR50" s="30"/>
      <c r="CS50" s="30"/>
      <c r="CT50" s="30"/>
      <c r="CU50" s="30"/>
      <c r="CV50" s="30"/>
      <c r="CW50" s="30"/>
      <c r="CX50" s="30"/>
      <c r="CY50" s="30"/>
      <c r="CZ50" s="30"/>
      <c r="DA50" s="30"/>
      <c r="DB50" s="30"/>
      <c r="DC50" s="30"/>
      <c r="DD50" s="30"/>
      <c r="DE50" s="30"/>
      <c r="DF50" s="30"/>
      <c r="DG50" s="30"/>
      <c r="DH50" s="30"/>
      <c r="DI50" s="30"/>
      <c r="DJ50" s="30"/>
      <c r="DK50" s="30"/>
      <c r="DL50" s="30"/>
      <c r="DM50" s="30"/>
      <c r="DN50" s="30"/>
      <c r="DO50" s="30"/>
      <c r="DP50" s="30"/>
      <c r="DQ50" s="30"/>
      <c r="DR50" s="30"/>
      <c r="DS50" s="30"/>
      <c r="DT50" s="30"/>
      <c r="DU50" s="30"/>
      <c r="DV50" s="30"/>
      <c r="DW50" s="30"/>
      <c r="DX50" s="30"/>
      <c r="DY50" s="30"/>
      <c r="DZ50" s="30"/>
      <c r="EA50" s="30"/>
      <c r="EB50" s="30"/>
      <c r="EC50" s="30"/>
      <c r="ED50" s="30"/>
      <c r="EE50" s="30"/>
      <c r="EF50" s="30"/>
      <c r="EG50" s="30"/>
      <c r="EH50" s="30"/>
      <c r="EI50" s="30"/>
      <c r="EJ50" s="30"/>
      <c r="EK50" s="30"/>
      <c r="EL50" s="30"/>
      <c r="EM50" s="30"/>
      <c r="EN50" s="30"/>
      <c r="EO50" s="30"/>
      <c r="EP50" s="30"/>
      <c r="EQ50" s="30"/>
      <c r="ER50" s="30"/>
      <c r="ES50" s="30"/>
      <c r="ET50" s="30"/>
      <c r="EU50" s="30"/>
      <c r="EV50" s="30"/>
      <c r="EW50" s="30"/>
      <c r="EX50" s="30"/>
      <c r="EY50" s="30"/>
      <c r="EZ50" s="30"/>
      <c r="FA50" s="30"/>
      <c r="FB50" s="30"/>
      <c r="FC50" s="30"/>
      <c r="FD50" s="30"/>
      <c r="FE50" s="30"/>
      <c r="FF50" s="30"/>
      <c r="FG50" s="30">
        <v>75</v>
      </c>
    </row>
    <row r="51" spans="17:163">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c r="CE51" s="30"/>
      <c r="CF51" s="30"/>
      <c r="CG51" s="30"/>
      <c r="CH51" s="30"/>
      <c r="CI51" s="30"/>
      <c r="CJ51" s="30"/>
      <c r="CK51" s="30"/>
      <c r="CL51" s="30"/>
      <c r="CM51" s="30"/>
      <c r="CN51" s="30"/>
      <c r="CO51" s="30"/>
      <c r="CP51" s="30"/>
      <c r="CQ51" s="30"/>
      <c r="CR51" s="30"/>
      <c r="CS51" s="30"/>
      <c r="CT51" s="30"/>
      <c r="CU51" s="30"/>
      <c r="CV51" s="30"/>
      <c r="CW51" s="30"/>
      <c r="CX51" s="30"/>
      <c r="CY51" s="30"/>
      <c r="CZ51" s="30"/>
      <c r="DA51" s="30"/>
      <c r="DB51" s="30"/>
      <c r="DC51" s="30"/>
      <c r="DD51" s="30"/>
      <c r="DE51" s="30"/>
      <c r="DF51" s="30"/>
      <c r="DG51" s="30"/>
      <c r="DH51" s="30"/>
      <c r="DI51" s="30"/>
      <c r="DJ51" s="30"/>
      <c r="DK51" s="30"/>
      <c r="DL51" s="30"/>
      <c r="DM51" s="30"/>
      <c r="DN51" s="30"/>
      <c r="DO51" s="30"/>
      <c r="DP51" s="30"/>
      <c r="DQ51" s="30"/>
      <c r="DR51" s="30"/>
      <c r="DS51" s="30"/>
      <c r="DT51" s="30"/>
      <c r="DU51" s="30"/>
      <c r="DV51" s="30"/>
      <c r="DW51" s="30"/>
      <c r="DX51" s="30"/>
      <c r="DY51" s="30"/>
      <c r="DZ51" s="30"/>
      <c r="EA51" s="30"/>
      <c r="EB51" s="30"/>
      <c r="EC51" s="30"/>
      <c r="ED51" s="30"/>
      <c r="EE51" s="30"/>
      <c r="EF51" s="30"/>
      <c r="EG51" s="30"/>
      <c r="EH51" s="30"/>
      <c r="EI51" s="30"/>
      <c r="EJ51" s="30"/>
      <c r="EK51" s="30"/>
      <c r="EL51" s="30"/>
      <c r="EM51" s="30"/>
      <c r="EN51" s="30"/>
      <c r="EO51" s="30"/>
      <c r="EP51" s="30"/>
      <c r="EQ51" s="30"/>
      <c r="ER51" s="30"/>
      <c r="ES51" s="30"/>
      <c r="ET51" s="30"/>
      <c r="EU51" s="30"/>
      <c r="EV51" s="30"/>
      <c r="EW51" s="30"/>
      <c r="EX51" s="30"/>
      <c r="EY51" s="30"/>
      <c r="EZ51" s="30"/>
      <c r="FA51" s="30"/>
      <c r="FB51" s="30"/>
      <c r="FC51" s="30"/>
      <c r="FD51" s="30"/>
      <c r="FE51" s="30"/>
      <c r="FF51" s="30"/>
      <c r="FG51" s="30">
        <v>76</v>
      </c>
    </row>
    <row r="52" spans="17:163">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0"/>
      <c r="DC52" s="30"/>
      <c r="DD52" s="30"/>
      <c r="DE52" s="30"/>
      <c r="DF52" s="30"/>
      <c r="DG52" s="30"/>
      <c r="DH52" s="30"/>
      <c r="DI52" s="30"/>
      <c r="DJ52" s="30"/>
      <c r="DK52" s="30"/>
      <c r="DL52" s="30"/>
      <c r="DM52" s="30"/>
      <c r="DN52" s="30"/>
      <c r="DO52" s="30"/>
      <c r="DP52" s="30"/>
      <c r="DQ52" s="30"/>
      <c r="DR52" s="30"/>
      <c r="DS52" s="30"/>
      <c r="DT52" s="30"/>
      <c r="DU52" s="30"/>
      <c r="DV52" s="30"/>
      <c r="DW52" s="30"/>
      <c r="DX52" s="30"/>
      <c r="DY52" s="30"/>
      <c r="DZ52" s="30"/>
      <c r="EA52" s="30"/>
      <c r="EB52" s="30"/>
      <c r="EC52" s="30"/>
      <c r="ED52" s="30"/>
      <c r="EE52" s="30"/>
      <c r="EF52" s="30"/>
      <c r="EG52" s="30"/>
      <c r="EH52" s="30"/>
      <c r="EI52" s="30"/>
      <c r="EJ52" s="30"/>
      <c r="EK52" s="30"/>
      <c r="EL52" s="30"/>
      <c r="EM52" s="30"/>
      <c r="EN52" s="30"/>
      <c r="EO52" s="30"/>
      <c r="EP52" s="30"/>
      <c r="EQ52" s="30"/>
      <c r="ER52" s="30"/>
      <c r="ES52" s="30"/>
      <c r="ET52" s="30"/>
      <c r="EU52" s="30"/>
      <c r="EV52" s="30"/>
      <c r="EW52" s="30"/>
      <c r="EX52" s="30"/>
      <c r="EY52" s="30"/>
      <c r="EZ52" s="30"/>
      <c r="FA52" s="30"/>
      <c r="FB52" s="30"/>
      <c r="FC52" s="30"/>
      <c r="FD52" s="30"/>
      <c r="FE52" s="30"/>
      <c r="FF52" s="30"/>
      <c r="FG52" s="30">
        <v>77</v>
      </c>
    </row>
    <row r="53" spans="17:163">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c r="CX53" s="30"/>
      <c r="CY53" s="30"/>
      <c r="CZ53" s="30"/>
      <c r="DA53" s="30"/>
      <c r="DB53" s="30"/>
      <c r="DC53" s="30"/>
      <c r="DD53" s="30"/>
      <c r="DE53" s="30"/>
      <c r="DF53" s="30"/>
      <c r="DG53" s="30"/>
      <c r="DH53" s="30"/>
      <c r="DI53" s="30"/>
      <c r="DJ53" s="30"/>
      <c r="DK53" s="30"/>
      <c r="DL53" s="30"/>
      <c r="DM53" s="30"/>
      <c r="DN53" s="30"/>
      <c r="DO53" s="30"/>
      <c r="DP53" s="30"/>
      <c r="DQ53" s="30"/>
      <c r="DR53" s="30"/>
      <c r="DS53" s="30"/>
      <c r="DT53" s="30"/>
      <c r="DU53" s="30"/>
      <c r="DV53" s="30"/>
      <c r="DW53" s="30"/>
      <c r="DX53" s="30"/>
      <c r="DY53" s="30"/>
      <c r="DZ53" s="30"/>
      <c r="EA53" s="30"/>
      <c r="EB53" s="30"/>
      <c r="EC53" s="30"/>
      <c r="ED53" s="30"/>
      <c r="EE53" s="30"/>
      <c r="EF53" s="30"/>
      <c r="EG53" s="30"/>
      <c r="EH53" s="30"/>
      <c r="EI53" s="30"/>
      <c r="EJ53" s="30"/>
      <c r="EK53" s="30"/>
      <c r="EL53" s="30"/>
      <c r="EM53" s="30"/>
      <c r="EN53" s="30"/>
      <c r="EO53" s="30"/>
      <c r="EP53" s="30"/>
      <c r="EQ53" s="30"/>
      <c r="ER53" s="30"/>
      <c r="ES53" s="30"/>
      <c r="ET53" s="30"/>
      <c r="EU53" s="30"/>
      <c r="EV53" s="30"/>
      <c r="EW53" s="30"/>
      <c r="EX53" s="30"/>
      <c r="EY53" s="30"/>
      <c r="EZ53" s="30"/>
      <c r="FA53" s="30"/>
      <c r="FB53" s="30"/>
      <c r="FC53" s="30"/>
      <c r="FD53" s="30"/>
      <c r="FE53" s="30"/>
      <c r="FF53" s="30"/>
      <c r="FG53" s="30">
        <v>78</v>
      </c>
    </row>
    <row r="54" spans="17:163">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c r="CX54" s="30"/>
      <c r="CY54" s="30"/>
      <c r="CZ54" s="30"/>
      <c r="DA54" s="30"/>
      <c r="DB54" s="30"/>
      <c r="DC54" s="30"/>
      <c r="DD54" s="30"/>
      <c r="DE54" s="30"/>
      <c r="DF54" s="30"/>
      <c r="DG54" s="30"/>
      <c r="DH54" s="30"/>
      <c r="DI54" s="30"/>
      <c r="DJ54" s="30"/>
      <c r="DK54" s="30"/>
      <c r="DL54" s="30"/>
      <c r="DM54" s="30"/>
      <c r="DN54" s="30"/>
      <c r="DO54" s="30"/>
      <c r="DP54" s="30"/>
      <c r="DQ54" s="30"/>
      <c r="DR54" s="30"/>
      <c r="DS54" s="30"/>
      <c r="DT54" s="30"/>
      <c r="DU54" s="30"/>
      <c r="DV54" s="30"/>
      <c r="DW54" s="30"/>
      <c r="DX54" s="30"/>
      <c r="DY54" s="30"/>
      <c r="DZ54" s="30"/>
      <c r="EA54" s="30"/>
      <c r="EB54" s="30"/>
      <c r="EC54" s="30"/>
      <c r="ED54" s="30"/>
      <c r="EE54" s="30"/>
      <c r="EF54" s="30"/>
      <c r="EG54" s="30"/>
      <c r="EH54" s="30"/>
      <c r="EI54" s="30"/>
      <c r="EJ54" s="30"/>
      <c r="EK54" s="30"/>
      <c r="EL54" s="30"/>
      <c r="EM54" s="30"/>
      <c r="EN54" s="30"/>
      <c r="EO54" s="30"/>
      <c r="EP54" s="30"/>
      <c r="EQ54" s="30"/>
      <c r="ER54" s="30"/>
      <c r="ES54" s="30"/>
      <c r="ET54" s="30"/>
      <c r="EU54" s="30"/>
      <c r="EV54" s="30"/>
      <c r="EW54" s="30"/>
      <c r="EX54" s="30"/>
      <c r="EY54" s="30"/>
      <c r="EZ54" s="30"/>
      <c r="FA54" s="30"/>
      <c r="FB54" s="30"/>
      <c r="FC54" s="30"/>
      <c r="FD54" s="30"/>
      <c r="FE54" s="30"/>
      <c r="FF54" s="30"/>
      <c r="FG54" s="30">
        <v>79</v>
      </c>
    </row>
    <row r="55" spans="17:163">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c r="CX55" s="30"/>
      <c r="CY55" s="30"/>
      <c r="CZ55" s="30"/>
      <c r="DA55" s="30"/>
      <c r="DB55" s="30"/>
      <c r="DC55" s="30"/>
      <c r="DD55" s="30"/>
      <c r="DE55" s="30"/>
      <c r="DF55" s="30"/>
      <c r="DG55" s="30"/>
      <c r="DH55" s="30"/>
      <c r="DI55" s="30"/>
      <c r="DJ55" s="30"/>
      <c r="DK55" s="30"/>
      <c r="DL55" s="30"/>
      <c r="DM55" s="30"/>
      <c r="DN55" s="30"/>
      <c r="DO55" s="30"/>
      <c r="DP55" s="30"/>
      <c r="DQ55" s="30"/>
      <c r="DR55" s="30"/>
      <c r="DS55" s="30"/>
      <c r="DT55" s="30"/>
      <c r="DU55" s="30"/>
      <c r="DV55" s="30"/>
      <c r="DW55" s="30"/>
      <c r="DX55" s="30"/>
      <c r="DY55" s="30"/>
      <c r="DZ55" s="30"/>
      <c r="EA55" s="30"/>
      <c r="EB55" s="30"/>
      <c r="EC55" s="30"/>
      <c r="ED55" s="30"/>
      <c r="EE55" s="30"/>
      <c r="EF55" s="30"/>
      <c r="EG55" s="30"/>
      <c r="EH55" s="30"/>
      <c r="EI55" s="30"/>
      <c r="EJ55" s="30"/>
      <c r="EK55" s="30"/>
      <c r="EL55" s="30"/>
      <c r="EM55" s="30"/>
      <c r="EN55" s="30"/>
      <c r="EO55" s="30"/>
      <c r="EP55" s="30"/>
      <c r="EQ55" s="30"/>
      <c r="ER55" s="30"/>
      <c r="ES55" s="30"/>
      <c r="ET55" s="30"/>
      <c r="EU55" s="30"/>
      <c r="EV55" s="30"/>
      <c r="EW55" s="30"/>
      <c r="EX55" s="30"/>
      <c r="EY55" s="30"/>
      <c r="EZ55" s="30"/>
      <c r="FA55" s="30"/>
      <c r="FB55" s="30"/>
      <c r="FC55" s="30"/>
      <c r="FD55" s="30"/>
      <c r="FE55" s="30"/>
      <c r="FF55" s="30"/>
      <c r="FG55" s="30">
        <v>80</v>
      </c>
    </row>
    <row r="56" spans="17:163">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c r="CE56" s="30"/>
      <c r="CF56" s="30"/>
      <c r="CG56" s="30"/>
      <c r="CH56" s="30"/>
      <c r="CI56" s="30"/>
      <c r="CJ56" s="30"/>
      <c r="CK56" s="30"/>
      <c r="CL56" s="30"/>
      <c r="CM56" s="30"/>
      <c r="CN56" s="30"/>
      <c r="CO56" s="30"/>
      <c r="CP56" s="30"/>
      <c r="CQ56" s="30"/>
      <c r="CR56" s="30"/>
      <c r="CS56" s="30"/>
      <c r="CT56" s="30"/>
      <c r="CU56" s="30"/>
      <c r="CV56" s="30"/>
      <c r="CW56" s="30"/>
      <c r="CX56" s="30"/>
      <c r="CY56" s="30"/>
      <c r="CZ56" s="30"/>
      <c r="DA56" s="30"/>
      <c r="DB56" s="30"/>
      <c r="DC56" s="30"/>
      <c r="DD56" s="30"/>
      <c r="DE56" s="30"/>
      <c r="DF56" s="30"/>
      <c r="DG56" s="30"/>
      <c r="DH56" s="30"/>
      <c r="DI56" s="30"/>
      <c r="DJ56" s="30"/>
      <c r="DK56" s="30"/>
      <c r="DL56" s="30"/>
      <c r="DM56" s="30"/>
      <c r="DN56" s="30"/>
      <c r="DO56" s="30"/>
      <c r="DP56" s="30"/>
      <c r="DQ56" s="30"/>
      <c r="DR56" s="30"/>
      <c r="DS56" s="30"/>
      <c r="DT56" s="30"/>
      <c r="DU56" s="30"/>
      <c r="DV56" s="30"/>
      <c r="DW56" s="30"/>
      <c r="DX56" s="30"/>
      <c r="DY56" s="30"/>
      <c r="DZ56" s="30"/>
      <c r="EA56" s="30"/>
      <c r="EB56" s="30"/>
      <c r="EC56" s="30"/>
      <c r="ED56" s="30"/>
      <c r="EE56" s="30"/>
      <c r="EF56" s="30"/>
      <c r="EG56" s="30"/>
      <c r="EH56" s="30"/>
      <c r="EI56" s="30"/>
      <c r="EJ56" s="30"/>
      <c r="EK56" s="30"/>
      <c r="EL56" s="30"/>
      <c r="EM56" s="30"/>
      <c r="EN56" s="30"/>
      <c r="EO56" s="30"/>
      <c r="EP56" s="30"/>
      <c r="EQ56" s="30"/>
      <c r="ER56" s="30"/>
      <c r="ES56" s="30"/>
      <c r="ET56" s="30"/>
      <c r="EU56" s="30"/>
      <c r="EV56" s="30"/>
      <c r="EW56" s="30"/>
      <c r="EX56" s="30"/>
      <c r="EY56" s="30"/>
      <c r="EZ56" s="30"/>
      <c r="FA56" s="30"/>
      <c r="FB56" s="30"/>
      <c r="FC56" s="30"/>
      <c r="FD56" s="30"/>
      <c r="FE56" s="30"/>
      <c r="FF56" s="30"/>
      <c r="FG56" s="30">
        <v>81</v>
      </c>
    </row>
    <row r="57" spans="17:163">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c r="CE57" s="30"/>
      <c r="CF57" s="30"/>
      <c r="CG57" s="30"/>
      <c r="CH57" s="30"/>
      <c r="CI57" s="30"/>
      <c r="CJ57" s="30"/>
      <c r="CK57" s="30"/>
      <c r="CL57" s="30"/>
      <c r="CM57" s="30"/>
      <c r="CN57" s="30"/>
      <c r="CO57" s="30"/>
      <c r="CP57" s="30"/>
      <c r="CQ57" s="30"/>
      <c r="CR57" s="30"/>
      <c r="CS57" s="30"/>
      <c r="CT57" s="30"/>
      <c r="CU57" s="30"/>
      <c r="CV57" s="30"/>
      <c r="CW57" s="30"/>
      <c r="CX57" s="30"/>
      <c r="CY57" s="30"/>
      <c r="CZ57" s="30"/>
      <c r="DA57" s="30"/>
      <c r="DB57" s="30"/>
      <c r="DC57" s="30"/>
      <c r="DD57" s="30"/>
      <c r="DE57" s="30"/>
      <c r="DF57" s="30"/>
      <c r="DG57" s="30"/>
      <c r="DH57" s="30"/>
      <c r="DI57" s="30"/>
      <c r="DJ57" s="30"/>
      <c r="DK57" s="30"/>
      <c r="DL57" s="30"/>
      <c r="DM57" s="30"/>
      <c r="DN57" s="30"/>
      <c r="DO57" s="30"/>
      <c r="DP57" s="30"/>
      <c r="DQ57" s="30"/>
      <c r="DR57" s="30"/>
      <c r="DS57" s="30"/>
      <c r="DT57" s="30"/>
      <c r="DU57" s="30"/>
      <c r="DV57" s="30"/>
      <c r="DW57" s="30"/>
      <c r="DX57" s="30"/>
      <c r="DY57" s="30"/>
      <c r="DZ57" s="30"/>
      <c r="EA57" s="30"/>
      <c r="EB57" s="30"/>
      <c r="EC57" s="30"/>
      <c r="ED57" s="30"/>
      <c r="EE57" s="30"/>
      <c r="EF57" s="30"/>
      <c r="EG57" s="30"/>
      <c r="EH57" s="30"/>
      <c r="EI57" s="30"/>
      <c r="EJ57" s="30"/>
      <c r="EK57" s="30"/>
      <c r="EL57" s="30"/>
      <c r="EM57" s="30"/>
      <c r="EN57" s="30"/>
      <c r="EO57" s="30"/>
      <c r="EP57" s="30"/>
      <c r="EQ57" s="30"/>
      <c r="ER57" s="30"/>
      <c r="ES57" s="30"/>
      <c r="ET57" s="30"/>
      <c r="EU57" s="30"/>
      <c r="EV57" s="30"/>
      <c r="EW57" s="30"/>
      <c r="EX57" s="30"/>
      <c r="EY57" s="30"/>
      <c r="EZ57" s="30"/>
      <c r="FA57" s="30"/>
      <c r="FB57" s="30"/>
      <c r="FC57" s="30"/>
      <c r="FD57" s="30"/>
      <c r="FE57" s="30"/>
      <c r="FF57" s="30"/>
      <c r="FG57" s="30">
        <v>82</v>
      </c>
    </row>
    <row r="58" spans="17:163">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c r="CE58" s="30"/>
      <c r="CF58" s="30"/>
      <c r="CG58" s="30"/>
      <c r="CH58" s="30"/>
      <c r="CI58" s="30"/>
      <c r="CJ58" s="30"/>
      <c r="CK58" s="30"/>
      <c r="CL58" s="30"/>
      <c r="CM58" s="30"/>
      <c r="CN58" s="30"/>
      <c r="CO58" s="30"/>
      <c r="CP58" s="30"/>
      <c r="CQ58" s="30"/>
      <c r="CR58" s="30"/>
      <c r="CS58" s="30"/>
      <c r="CT58" s="30"/>
      <c r="CU58" s="30"/>
      <c r="CV58" s="30"/>
      <c r="CW58" s="30"/>
      <c r="CX58" s="30"/>
      <c r="CY58" s="30"/>
      <c r="CZ58" s="30"/>
      <c r="DA58" s="30"/>
      <c r="DB58" s="30"/>
      <c r="DC58" s="30"/>
      <c r="DD58" s="30"/>
      <c r="DE58" s="30"/>
      <c r="DF58" s="30"/>
      <c r="DG58" s="30"/>
      <c r="DH58" s="30"/>
      <c r="DI58" s="30"/>
      <c r="DJ58" s="30"/>
      <c r="DK58" s="30"/>
      <c r="DL58" s="30"/>
      <c r="DM58" s="30"/>
      <c r="DN58" s="30"/>
      <c r="DO58" s="30"/>
      <c r="DP58" s="30"/>
      <c r="DQ58" s="30"/>
      <c r="DR58" s="30"/>
      <c r="DS58" s="30"/>
      <c r="DT58" s="30"/>
      <c r="DU58" s="30"/>
      <c r="DV58" s="30"/>
      <c r="DW58" s="30"/>
      <c r="DX58" s="30"/>
      <c r="DY58" s="30"/>
      <c r="DZ58" s="30"/>
      <c r="EA58" s="30"/>
      <c r="EB58" s="30"/>
      <c r="EC58" s="30"/>
      <c r="ED58" s="30"/>
      <c r="EE58" s="30"/>
      <c r="EF58" s="30"/>
      <c r="EG58" s="30"/>
      <c r="EH58" s="30"/>
      <c r="EI58" s="30"/>
      <c r="EJ58" s="30"/>
      <c r="EK58" s="30"/>
      <c r="EL58" s="30"/>
      <c r="EM58" s="30"/>
      <c r="EN58" s="30"/>
      <c r="EO58" s="30"/>
      <c r="EP58" s="30"/>
      <c r="EQ58" s="30"/>
      <c r="ER58" s="30"/>
      <c r="ES58" s="30"/>
      <c r="ET58" s="30"/>
      <c r="EU58" s="30"/>
      <c r="EV58" s="30"/>
      <c r="EW58" s="30"/>
      <c r="EX58" s="30"/>
      <c r="EY58" s="30"/>
      <c r="EZ58" s="30"/>
      <c r="FA58" s="30"/>
      <c r="FB58" s="30"/>
      <c r="FC58" s="30"/>
      <c r="FD58" s="30"/>
      <c r="FE58" s="30"/>
      <c r="FF58" s="30"/>
      <c r="FG58" s="30">
        <v>83</v>
      </c>
    </row>
    <row r="59" spans="17:163">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30"/>
      <c r="CH59" s="30"/>
      <c r="CI59" s="30"/>
      <c r="CJ59" s="30"/>
      <c r="CK59" s="30"/>
      <c r="CL59" s="30"/>
      <c r="CM59" s="30"/>
      <c r="CN59" s="30"/>
      <c r="CO59" s="30"/>
      <c r="CP59" s="30"/>
      <c r="CQ59" s="30"/>
      <c r="CR59" s="30"/>
      <c r="CS59" s="30"/>
      <c r="CT59" s="30"/>
      <c r="CU59" s="30"/>
      <c r="CV59" s="30"/>
      <c r="CW59" s="30"/>
      <c r="CX59" s="30"/>
      <c r="CY59" s="30"/>
      <c r="CZ59" s="30"/>
      <c r="DA59" s="30"/>
      <c r="DB59" s="30"/>
      <c r="DC59" s="30"/>
      <c r="DD59" s="30"/>
      <c r="DE59" s="30"/>
      <c r="DF59" s="30"/>
      <c r="DG59" s="30"/>
      <c r="DH59" s="30"/>
      <c r="DI59" s="30"/>
      <c r="DJ59" s="30"/>
      <c r="DK59" s="30"/>
      <c r="DL59" s="30"/>
      <c r="DM59" s="30"/>
      <c r="DN59" s="30"/>
      <c r="DO59" s="30"/>
      <c r="DP59" s="30"/>
      <c r="DQ59" s="30"/>
      <c r="DR59" s="30"/>
      <c r="DS59" s="30"/>
      <c r="DT59" s="30"/>
      <c r="DU59" s="30"/>
      <c r="DV59" s="30"/>
      <c r="DW59" s="30"/>
      <c r="DX59" s="30"/>
      <c r="DY59" s="30"/>
      <c r="DZ59" s="30"/>
      <c r="EA59" s="30"/>
      <c r="EB59" s="30"/>
      <c r="EC59" s="30"/>
      <c r="ED59" s="30"/>
      <c r="EE59" s="30"/>
      <c r="EF59" s="30"/>
      <c r="EG59" s="30"/>
      <c r="EH59" s="30"/>
      <c r="EI59" s="30"/>
      <c r="EJ59" s="30"/>
      <c r="EK59" s="30"/>
      <c r="EL59" s="30"/>
      <c r="EM59" s="30"/>
      <c r="EN59" s="30"/>
      <c r="EO59" s="30"/>
      <c r="EP59" s="30"/>
      <c r="EQ59" s="30"/>
      <c r="ER59" s="30"/>
      <c r="ES59" s="30"/>
      <c r="ET59" s="30"/>
      <c r="EU59" s="30"/>
      <c r="EV59" s="30"/>
      <c r="EW59" s="30"/>
      <c r="EX59" s="30"/>
      <c r="EY59" s="30"/>
      <c r="EZ59" s="30"/>
      <c r="FA59" s="30"/>
      <c r="FB59" s="30"/>
      <c r="FC59" s="30"/>
      <c r="FD59" s="30"/>
      <c r="FE59" s="30"/>
      <c r="FF59" s="30"/>
      <c r="FG59" s="30">
        <v>84</v>
      </c>
    </row>
    <row r="60" spans="17:163">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30"/>
      <c r="EJ60" s="30"/>
      <c r="EK60" s="30"/>
      <c r="EL60" s="30"/>
      <c r="EM60" s="30"/>
      <c r="EN60" s="30"/>
      <c r="EO60" s="30"/>
      <c r="EP60" s="30"/>
      <c r="EQ60" s="30"/>
      <c r="ER60" s="30"/>
      <c r="ES60" s="30"/>
      <c r="ET60" s="30"/>
      <c r="EU60" s="30"/>
      <c r="EV60" s="30"/>
      <c r="EW60" s="30"/>
      <c r="EX60" s="30"/>
      <c r="EY60" s="30"/>
      <c r="EZ60" s="30"/>
      <c r="FA60" s="30"/>
      <c r="FB60" s="30"/>
      <c r="FC60" s="30"/>
      <c r="FD60" s="30"/>
      <c r="FE60" s="30"/>
      <c r="FF60" s="30"/>
      <c r="FG60" s="30">
        <v>85</v>
      </c>
    </row>
    <row r="61" spans="17:163">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c r="CE61" s="30"/>
      <c r="CF61" s="30"/>
      <c r="CG61" s="30"/>
      <c r="CH61" s="30"/>
      <c r="CI61" s="30"/>
      <c r="CJ61" s="30"/>
      <c r="CK61" s="30"/>
      <c r="CL61" s="30"/>
      <c r="CM61" s="30"/>
      <c r="CN61" s="30"/>
      <c r="CO61" s="30"/>
      <c r="CP61" s="30"/>
      <c r="CQ61" s="30"/>
      <c r="CR61" s="30"/>
      <c r="CS61" s="30"/>
      <c r="CT61" s="30"/>
      <c r="CU61" s="30"/>
      <c r="CV61" s="30"/>
      <c r="CW61" s="30"/>
      <c r="CX61" s="30"/>
      <c r="CY61" s="30"/>
      <c r="CZ61" s="30"/>
      <c r="DA61" s="30"/>
      <c r="DB61" s="30"/>
      <c r="DC61" s="30"/>
      <c r="DD61" s="30"/>
      <c r="DE61" s="30"/>
      <c r="DF61" s="30"/>
      <c r="DG61" s="30"/>
      <c r="DH61" s="30"/>
      <c r="DI61" s="30"/>
      <c r="DJ61" s="30"/>
      <c r="DK61" s="30"/>
      <c r="DL61" s="30"/>
      <c r="DM61" s="30"/>
      <c r="DN61" s="30"/>
      <c r="DO61" s="30"/>
      <c r="DP61" s="30"/>
      <c r="DQ61" s="30"/>
      <c r="DR61" s="30"/>
      <c r="DS61" s="30"/>
      <c r="DT61" s="30"/>
      <c r="DU61" s="30"/>
      <c r="DV61" s="30"/>
      <c r="DW61" s="30"/>
      <c r="DX61" s="30"/>
      <c r="DY61" s="30"/>
      <c r="DZ61" s="30"/>
      <c r="EA61" s="30"/>
      <c r="EB61" s="30"/>
      <c r="EC61" s="30"/>
      <c r="ED61" s="30"/>
      <c r="EE61" s="30"/>
      <c r="EF61" s="30"/>
      <c r="EG61" s="30"/>
      <c r="EH61" s="30"/>
      <c r="EI61" s="30"/>
      <c r="EJ61" s="30"/>
      <c r="EK61" s="30"/>
      <c r="EL61" s="30"/>
      <c r="EM61" s="30"/>
      <c r="EN61" s="30"/>
      <c r="EO61" s="30"/>
      <c r="EP61" s="30"/>
      <c r="EQ61" s="30"/>
      <c r="ER61" s="30"/>
      <c r="ES61" s="30"/>
      <c r="ET61" s="30"/>
      <c r="EU61" s="30"/>
      <c r="EV61" s="30"/>
      <c r="EW61" s="30"/>
      <c r="EX61" s="30"/>
      <c r="EY61" s="30"/>
      <c r="EZ61" s="30"/>
      <c r="FA61" s="30"/>
      <c r="FB61" s="30"/>
      <c r="FC61" s="30"/>
      <c r="FD61" s="30"/>
      <c r="FE61" s="30"/>
      <c r="FF61" s="30"/>
      <c r="FG61" s="30">
        <v>86</v>
      </c>
    </row>
    <row r="62" spans="17:163">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30"/>
      <c r="EO62" s="30"/>
      <c r="EP62" s="30"/>
      <c r="EQ62" s="30"/>
      <c r="ER62" s="30"/>
      <c r="ES62" s="30"/>
      <c r="ET62" s="30"/>
      <c r="EU62" s="30"/>
      <c r="EV62" s="30"/>
      <c r="EW62" s="30"/>
      <c r="EX62" s="30"/>
      <c r="EY62" s="30"/>
      <c r="EZ62" s="30"/>
      <c r="FA62" s="30"/>
      <c r="FB62" s="30"/>
      <c r="FC62" s="30"/>
      <c r="FD62" s="30"/>
      <c r="FE62" s="30"/>
      <c r="FF62" s="30"/>
      <c r="FG62" s="30">
        <v>87</v>
      </c>
    </row>
    <row r="63" spans="17:163">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c r="CE63" s="30"/>
      <c r="CF63" s="30"/>
      <c r="CG63" s="30"/>
      <c r="CH63" s="30"/>
      <c r="CI63" s="30"/>
      <c r="CJ63" s="30"/>
      <c r="CK63" s="30"/>
      <c r="CL63" s="30"/>
      <c r="CM63" s="30"/>
      <c r="CN63" s="30"/>
      <c r="CO63" s="30"/>
      <c r="CP63" s="30"/>
      <c r="CQ63" s="30"/>
      <c r="CR63" s="30"/>
      <c r="CS63" s="30"/>
      <c r="CT63" s="30"/>
      <c r="CU63" s="30"/>
      <c r="CV63" s="30"/>
      <c r="CW63" s="30"/>
      <c r="CX63" s="30"/>
      <c r="CY63" s="30"/>
      <c r="CZ63" s="30"/>
      <c r="DA63" s="30"/>
      <c r="DB63" s="30"/>
      <c r="DC63" s="30"/>
      <c r="DD63" s="30"/>
      <c r="DE63" s="30"/>
      <c r="DF63" s="30"/>
      <c r="DG63" s="30"/>
      <c r="DH63" s="30"/>
      <c r="DI63" s="30"/>
      <c r="DJ63" s="30"/>
      <c r="DK63" s="30"/>
      <c r="DL63" s="30"/>
      <c r="DM63" s="30"/>
      <c r="DN63" s="30"/>
      <c r="DO63" s="30"/>
      <c r="DP63" s="30"/>
      <c r="DQ63" s="30"/>
      <c r="DR63" s="30"/>
      <c r="DS63" s="30"/>
      <c r="DT63" s="30"/>
      <c r="DU63" s="30"/>
      <c r="DV63" s="30"/>
      <c r="DW63" s="30"/>
      <c r="DX63" s="30"/>
      <c r="DY63" s="30"/>
      <c r="DZ63" s="30"/>
      <c r="EA63" s="30"/>
      <c r="EB63" s="30"/>
      <c r="EC63" s="30"/>
      <c r="ED63" s="30"/>
      <c r="EE63" s="30"/>
      <c r="EF63" s="30"/>
      <c r="EG63" s="30"/>
      <c r="EH63" s="30"/>
      <c r="EI63" s="30"/>
      <c r="EJ63" s="30"/>
      <c r="EK63" s="30"/>
      <c r="EL63" s="30"/>
      <c r="EM63" s="30"/>
      <c r="EN63" s="30"/>
      <c r="EO63" s="30"/>
      <c r="EP63" s="30"/>
      <c r="EQ63" s="30"/>
      <c r="ER63" s="30"/>
      <c r="ES63" s="30"/>
      <c r="ET63" s="30"/>
      <c r="EU63" s="30"/>
      <c r="EV63" s="30"/>
      <c r="EW63" s="30"/>
      <c r="EX63" s="30"/>
      <c r="EY63" s="30"/>
      <c r="EZ63" s="30"/>
      <c r="FA63" s="30"/>
      <c r="FB63" s="30"/>
      <c r="FC63" s="30"/>
      <c r="FD63" s="30"/>
      <c r="FE63" s="30"/>
      <c r="FF63" s="30"/>
      <c r="FG63" s="30">
        <v>88</v>
      </c>
    </row>
    <row r="64" spans="17:163">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c r="CE64" s="30"/>
      <c r="CF64" s="30"/>
      <c r="CG64" s="30"/>
      <c r="CH64" s="30"/>
      <c r="CI64" s="30"/>
      <c r="CJ64" s="30"/>
      <c r="CK64" s="30"/>
      <c r="CL64" s="30"/>
      <c r="CM64" s="30"/>
      <c r="CN64" s="30"/>
      <c r="CO64" s="30"/>
      <c r="CP64" s="30"/>
      <c r="CQ64" s="30"/>
      <c r="CR64" s="30"/>
      <c r="CS64" s="30"/>
      <c r="CT64" s="30"/>
      <c r="CU64" s="30"/>
      <c r="CV64" s="30"/>
      <c r="CW64" s="30"/>
      <c r="CX64" s="30"/>
      <c r="CY64" s="30"/>
      <c r="CZ64" s="30"/>
      <c r="DA64" s="30"/>
      <c r="DB64" s="30"/>
      <c r="DC64" s="30"/>
      <c r="DD64" s="30"/>
      <c r="DE64" s="30"/>
      <c r="DF64" s="30"/>
      <c r="DG64" s="30"/>
      <c r="DH64" s="30"/>
      <c r="DI64" s="30"/>
      <c r="DJ64" s="30"/>
      <c r="DK64" s="30"/>
      <c r="DL64" s="30"/>
      <c r="DM64" s="30"/>
      <c r="DN64" s="30"/>
      <c r="DO64" s="30"/>
      <c r="DP64" s="30"/>
      <c r="DQ64" s="30"/>
      <c r="DR64" s="30"/>
      <c r="DS64" s="30"/>
      <c r="DT64" s="30"/>
      <c r="DU64" s="30"/>
      <c r="DV64" s="30"/>
      <c r="DW64" s="30"/>
      <c r="DX64" s="30"/>
      <c r="DY64" s="30"/>
      <c r="DZ64" s="30"/>
      <c r="EA64" s="30"/>
      <c r="EB64" s="30"/>
      <c r="EC64" s="30"/>
      <c r="ED64" s="30"/>
      <c r="EE64" s="30"/>
      <c r="EF64" s="30"/>
      <c r="EG64" s="30"/>
      <c r="EH64" s="30"/>
      <c r="EI64" s="30"/>
      <c r="EJ64" s="30"/>
      <c r="EK64" s="30"/>
      <c r="EL64" s="30"/>
      <c r="EM64" s="30"/>
      <c r="EN64" s="30"/>
      <c r="EO64" s="30"/>
      <c r="EP64" s="30"/>
      <c r="EQ64" s="30"/>
      <c r="ER64" s="30"/>
      <c r="ES64" s="30"/>
      <c r="ET64" s="30"/>
      <c r="EU64" s="30"/>
      <c r="EV64" s="30"/>
      <c r="EW64" s="30"/>
      <c r="EX64" s="30"/>
      <c r="EY64" s="30"/>
      <c r="EZ64" s="30"/>
      <c r="FA64" s="30"/>
      <c r="FB64" s="30"/>
      <c r="FC64" s="30"/>
      <c r="FD64" s="30"/>
      <c r="FE64" s="30"/>
      <c r="FF64" s="30"/>
      <c r="FG64" s="30">
        <v>89</v>
      </c>
    </row>
    <row r="65" spans="1:163">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30"/>
      <c r="EJ65" s="30"/>
      <c r="EK65" s="30"/>
      <c r="EL65" s="30"/>
      <c r="EM65" s="30"/>
      <c r="EN65" s="30"/>
      <c r="EO65" s="30"/>
      <c r="EP65" s="30"/>
      <c r="EQ65" s="30"/>
      <c r="ER65" s="30"/>
      <c r="ES65" s="30"/>
      <c r="ET65" s="30"/>
      <c r="EU65" s="30"/>
      <c r="EV65" s="30"/>
      <c r="EW65" s="30"/>
      <c r="EX65" s="30"/>
      <c r="EY65" s="30"/>
      <c r="EZ65" s="30"/>
      <c r="FA65" s="30"/>
      <c r="FB65" s="30"/>
      <c r="FC65" s="30"/>
      <c r="FD65" s="30"/>
      <c r="FE65" s="30"/>
      <c r="FF65" s="30"/>
      <c r="FG65" s="30">
        <v>90</v>
      </c>
    </row>
    <row r="66" spans="1:163">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30"/>
      <c r="EJ66" s="30"/>
      <c r="EK66" s="30"/>
      <c r="EL66" s="30"/>
      <c r="EM66" s="30"/>
      <c r="EN66" s="30"/>
      <c r="EO66" s="30"/>
      <c r="EP66" s="30"/>
      <c r="EQ66" s="30"/>
      <c r="ER66" s="30"/>
      <c r="ES66" s="30"/>
      <c r="ET66" s="30"/>
      <c r="EU66" s="30"/>
      <c r="EV66" s="30"/>
      <c r="EW66" s="30"/>
      <c r="EX66" s="30"/>
      <c r="EY66" s="30"/>
      <c r="EZ66" s="30"/>
      <c r="FA66" s="30"/>
      <c r="FB66" s="30"/>
      <c r="FC66" s="30"/>
      <c r="FD66" s="30"/>
      <c r="FE66" s="30"/>
      <c r="FF66" s="30"/>
      <c r="FG66" s="30">
        <v>91</v>
      </c>
    </row>
    <row r="67" spans="1:163">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c r="CE67" s="30"/>
      <c r="CF67" s="30"/>
      <c r="CG67" s="30"/>
      <c r="CH67" s="30"/>
      <c r="CI67" s="30"/>
      <c r="CJ67" s="30"/>
      <c r="CK67" s="30"/>
      <c r="CL67" s="30"/>
      <c r="CM67" s="30"/>
      <c r="CN67" s="30"/>
      <c r="CO67" s="30"/>
      <c r="CP67" s="30"/>
      <c r="CQ67" s="30"/>
      <c r="CR67" s="30"/>
      <c r="CS67" s="30"/>
      <c r="CT67" s="30"/>
      <c r="CU67" s="30"/>
      <c r="CV67" s="30"/>
      <c r="CW67" s="30"/>
      <c r="CX67" s="30"/>
      <c r="CY67" s="30"/>
      <c r="CZ67" s="30"/>
      <c r="DA67" s="30"/>
      <c r="DB67" s="30"/>
      <c r="DC67" s="30"/>
      <c r="DD67" s="30"/>
      <c r="DE67" s="30"/>
      <c r="DF67" s="30"/>
      <c r="DG67" s="30"/>
      <c r="DH67" s="30"/>
      <c r="DI67" s="30"/>
      <c r="DJ67" s="30"/>
      <c r="DK67" s="30"/>
      <c r="DL67" s="30"/>
      <c r="DM67" s="30"/>
      <c r="DN67" s="30"/>
      <c r="DO67" s="30"/>
      <c r="DP67" s="30"/>
      <c r="DQ67" s="30"/>
      <c r="DR67" s="30"/>
      <c r="DS67" s="30"/>
      <c r="DT67" s="30"/>
      <c r="DU67" s="30"/>
      <c r="DV67" s="30"/>
      <c r="DW67" s="30"/>
      <c r="DX67" s="30"/>
      <c r="DY67" s="30"/>
      <c r="DZ67" s="30"/>
      <c r="EA67" s="30"/>
      <c r="EB67" s="30"/>
      <c r="EC67" s="30"/>
      <c r="ED67" s="30"/>
      <c r="EE67" s="30"/>
      <c r="EF67" s="30"/>
      <c r="EG67" s="30"/>
      <c r="EH67" s="30"/>
      <c r="EI67" s="30"/>
      <c r="EJ67" s="30"/>
      <c r="EK67" s="30"/>
      <c r="EL67" s="30"/>
      <c r="EM67" s="30"/>
      <c r="EN67" s="30"/>
      <c r="EO67" s="30"/>
      <c r="EP67" s="30"/>
      <c r="EQ67" s="30"/>
      <c r="ER67" s="30"/>
      <c r="ES67" s="30"/>
      <c r="ET67" s="30"/>
      <c r="EU67" s="30"/>
      <c r="EV67" s="30"/>
      <c r="EW67" s="30"/>
      <c r="EX67" s="30"/>
      <c r="EY67" s="30"/>
      <c r="EZ67" s="30"/>
      <c r="FA67" s="30"/>
      <c r="FB67" s="30"/>
      <c r="FC67" s="30"/>
      <c r="FD67" s="30"/>
      <c r="FE67" s="30"/>
      <c r="FF67" s="30"/>
      <c r="FG67" s="30">
        <v>92</v>
      </c>
    </row>
    <row r="68" spans="1:163">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c r="CE68" s="30"/>
      <c r="CF68" s="30"/>
      <c r="CG68" s="30"/>
      <c r="CH68" s="30"/>
      <c r="CI68" s="30"/>
      <c r="CJ68" s="30"/>
      <c r="CK68" s="30"/>
      <c r="CL68" s="30"/>
      <c r="CM68" s="30"/>
      <c r="CN68" s="30"/>
      <c r="CO68" s="30"/>
      <c r="CP68" s="30"/>
      <c r="CQ68" s="30"/>
      <c r="CR68" s="30"/>
      <c r="CS68" s="30"/>
      <c r="CT68" s="30"/>
      <c r="CU68" s="30"/>
      <c r="CV68" s="30"/>
      <c r="CW68" s="30"/>
      <c r="CX68" s="30"/>
      <c r="CY68" s="30"/>
      <c r="CZ68" s="30"/>
      <c r="DA68" s="30"/>
      <c r="DB68" s="30"/>
      <c r="DC68" s="30"/>
      <c r="DD68" s="30"/>
      <c r="DE68" s="30"/>
      <c r="DF68" s="30"/>
      <c r="DG68" s="30"/>
      <c r="DH68" s="30"/>
      <c r="DI68" s="30"/>
      <c r="DJ68" s="30"/>
      <c r="DK68" s="30"/>
      <c r="DL68" s="30"/>
      <c r="DM68" s="30"/>
      <c r="DN68" s="30"/>
      <c r="DO68" s="30"/>
      <c r="DP68" s="30"/>
      <c r="DQ68" s="30"/>
      <c r="DR68" s="30"/>
      <c r="DS68" s="30"/>
      <c r="DT68" s="30"/>
      <c r="DU68" s="30"/>
      <c r="DV68" s="30"/>
      <c r="DW68" s="30"/>
      <c r="DX68" s="30"/>
      <c r="DY68" s="30"/>
      <c r="DZ68" s="30"/>
      <c r="EA68" s="30"/>
      <c r="EB68" s="30"/>
      <c r="EC68" s="30"/>
      <c r="ED68" s="30"/>
      <c r="EE68" s="30"/>
      <c r="EF68" s="30"/>
      <c r="EG68" s="30"/>
      <c r="EH68" s="30"/>
      <c r="EI68" s="30"/>
      <c r="EJ68" s="30"/>
      <c r="EK68" s="30"/>
      <c r="EL68" s="30"/>
      <c r="EM68" s="30"/>
      <c r="EN68" s="30"/>
      <c r="EO68" s="30"/>
      <c r="EP68" s="30"/>
      <c r="EQ68" s="30"/>
      <c r="ER68" s="30"/>
      <c r="ES68" s="30"/>
      <c r="ET68" s="30"/>
      <c r="EU68" s="30"/>
      <c r="EV68" s="30"/>
      <c r="EW68" s="30"/>
      <c r="EX68" s="30"/>
      <c r="EY68" s="30"/>
      <c r="EZ68" s="30"/>
      <c r="FA68" s="30"/>
      <c r="FB68" s="30"/>
      <c r="FC68" s="30"/>
      <c r="FD68" s="30"/>
      <c r="FE68" s="30"/>
      <c r="FF68" s="30"/>
      <c r="FG68" s="30">
        <v>93</v>
      </c>
    </row>
    <row r="69" spans="1:163">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c r="CE69" s="30"/>
      <c r="CF69" s="30"/>
      <c r="CG69" s="30"/>
      <c r="CH69" s="30"/>
      <c r="CI69" s="30"/>
      <c r="CJ69" s="30"/>
      <c r="CK69" s="30"/>
      <c r="CL69" s="30"/>
      <c r="CM69" s="30"/>
      <c r="CN69" s="30"/>
      <c r="CO69" s="30"/>
      <c r="CP69" s="30"/>
      <c r="CQ69" s="30"/>
      <c r="CR69" s="30"/>
      <c r="CS69" s="30"/>
      <c r="CT69" s="30"/>
      <c r="CU69" s="30"/>
      <c r="CV69" s="30"/>
      <c r="CW69" s="30"/>
      <c r="CX69" s="30"/>
      <c r="CY69" s="30"/>
      <c r="CZ69" s="30"/>
      <c r="DA69" s="30"/>
      <c r="DB69" s="30"/>
      <c r="DC69" s="30"/>
      <c r="DD69" s="30"/>
      <c r="DE69" s="30"/>
      <c r="DF69" s="30"/>
      <c r="DG69" s="30"/>
      <c r="DH69" s="30"/>
      <c r="DI69" s="30"/>
      <c r="DJ69" s="30"/>
      <c r="DK69" s="30"/>
      <c r="DL69" s="30"/>
      <c r="DM69" s="30"/>
      <c r="DN69" s="30"/>
      <c r="DO69" s="30"/>
      <c r="DP69" s="30"/>
      <c r="DQ69" s="30"/>
      <c r="DR69" s="30"/>
      <c r="DS69" s="30"/>
      <c r="DT69" s="30"/>
      <c r="DU69" s="30"/>
      <c r="DV69" s="30"/>
      <c r="DW69" s="30"/>
      <c r="DX69" s="30"/>
      <c r="DY69" s="30"/>
      <c r="DZ69" s="30"/>
      <c r="EA69" s="30"/>
      <c r="EB69" s="30"/>
      <c r="EC69" s="30"/>
      <c r="ED69" s="30"/>
      <c r="EE69" s="30"/>
      <c r="EF69" s="30"/>
      <c r="EG69" s="30"/>
      <c r="EH69" s="30"/>
      <c r="EI69" s="30"/>
      <c r="EJ69" s="30"/>
      <c r="EK69" s="30"/>
      <c r="EL69" s="30"/>
      <c r="EM69" s="30"/>
      <c r="EN69" s="30"/>
      <c r="EO69" s="30"/>
      <c r="EP69" s="30"/>
      <c r="EQ69" s="30"/>
      <c r="ER69" s="30"/>
      <c r="ES69" s="30"/>
      <c r="ET69" s="30"/>
      <c r="EU69" s="30"/>
      <c r="EV69" s="30"/>
      <c r="EW69" s="30"/>
      <c r="EX69" s="30"/>
      <c r="EY69" s="30"/>
      <c r="EZ69" s="30"/>
      <c r="FA69" s="30"/>
      <c r="FB69" s="30"/>
      <c r="FC69" s="30"/>
      <c r="FD69" s="30"/>
      <c r="FE69" s="30"/>
      <c r="FF69" s="30"/>
      <c r="FG69" s="30">
        <v>94</v>
      </c>
    </row>
    <row r="70" spans="1:163">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c r="CE70" s="30"/>
      <c r="CF70" s="30"/>
      <c r="CG70" s="30"/>
      <c r="CH70" s="30"/>
      <c r="CI70" s="30"/>
      <c r="CJ70" s="30"/>
      <c r="CK70" s="30"/>
      <c r="CL70" s="30"/>
      <c r="CM70" s="30"/>
      <c r="CN70" s="30"/>
      <c r="CO70" s="30"/>
      <c r="CP70" s="30"/>
      <c r="CQ70" s="30"/>
      <c r="CR70" s="30"/>
      <c r="CS70" s="30"/>
      <c r="CT70" s="30"/>
      <c r="CU70" s="30"/>
      <c r="CV70" s="30"/>
      <c r="CW70" s="30"/>
      <c r="CX70" s="30"/>
      <c r="CY70" s="30"/>
      <c r="CZ70" s="30"/>
      <c r="DA70" s="30"/>
      <c r="DB70" s="30"/>
      <c r="DC70" s="30"/>
      <c r="DD70" s="30"/>
      <c r="DE70" s="30"/>
      <c r="DF70" s="30"/>
      <c r="DG70" s="30"/>
      <c r="DH70" s="30"/>
      <c r="DI70" s="30"/>
      <c r="DJ70" s="30"/>
      <c r="DK70" s="30"/>
      <c r="DL70" s="30"/>
      <c r="DM70" s="30"/>
      <c r="DN70" s="30"/>
      <c r="DO70" s="30"/>
      <c r="DP70" s="30"/>
      <c r="DQ70" s="30"/>
      <c r="DR70" s="30"/>
      <c r="DS70" s="30"/>
      <c r="DT70" s="30"/>
      <c r="DU70" s="30"/>
      <c r="DV70" s="30"/>
      <c r="DW70" s="30"/>
      <c r="DX70" s="30"/>
      <c r="DY70" s="30"/>
      <c r="DZ70" s="30"/>
      <c r="EA70" s="30"/>
      <c r="EB70" s="30"/>
      <c r="EC70" s="30"/>
      <c r="ED70" s="30"/>
      <c r="EE70" s="30"/>
      <c r="EF70" s="30"/>
      <c r="EG70" s="30"/>
      <c r="EH70" s="30"/>
      <c r="EI70" s="30"/>
      <c r="EJ70" s="30"/>
      <c r="EK70" s="30"/>
      <c r="EL70" s="30"/>
      <c r="EM70" s="30"/>
      <c r="EN70" s="30"/>
      <c r="EO70" s="30"/>
      <c r="EP70" s="30"/>
      <c r="EQ70" s="30"/>
      <c r="ER70" s="30"/>
      <c r="ES70" s="30"/>
      <c r="ET70" s="30"/>
      <c r="EU70" s="30"/>
      <c r="EV70" s="30"/>
      <c r="EW70" s="30"/>
      <c r="EX70" s="30"/>
      <c r="EY70" s="30"/>
      <c r="EZ70" s="30"/>
      <c r="FA70" s="30"/>
      <c r="FB70" s="30"/>
      <c r="FC70" s="30"/>
      <c r="FD70" s="30"/>
      <c r="FE70" s="30"/>
      <c r="FF70" s="30"/>
      <c r="FG70" s="30">
        <v>95</v>
      </c>
    </row>
    <row r="71" spans="1:163">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c r="CE71" s="30"/>
      <c r="CF71" s="30"/>
      <c r="CG71" s="30"/>
      <c r="CH71" s="30"/>
      <c r="CI71" s="30"/>
      <c r="CJ71" s="30"/>
      <c r="CK71" s="30"/>
      <c r="CL71" s="30"/>
      <c r="CM71" s="30"/>
      <c r="CN71" s="30"/>
      <c r="CO71" s="30"/>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30"/>
      <c r="DU71" s="30"/>
      <c r="DV71" s="30"/>
      <c r="DW71" s="30"/>
      <c r="DX71" s="30"/>
      <c r="DY71" s="30"/>
      <c r="DZ71" s="30"/>
      <c r="EA71" s="30"/>
      <c r="EB71" s="30"/>
      <c r="EC71" s="30"/>
      <c r="ED71" s="30"/>
      <c r="EE71" s="30"/>
      <c r="EF71" s="30"/>
      <c r="EG71" s="30"/>
      <c r="EH71" s="30"/>
      <c r="EI71" s="30"/>
      <c r="EJ71" s="30"/>
      <c r="EK71" s="30"/>
      <c r="EL71" s="30"/>
      <c r="EM71" s="30"/>
      <c r="EN71" s="30"/>
      <c r="EO71" s="30"/>
      <c r="EP71" s="30"/>
      <c r="EQ71" s="30"/>
      <c r="ER71" s="30"/>
      <c r="ES71" s="30"/>
      <c r="ET71" s="30"/>
      <c r="EU71" s="30"/>
      <c r="EV71" s="30"/>
      <c r="EW71" s="30"/>
      <c r="EX71" s="30"/>
      <c r="EY71" s="30"/>
      <c r="EZ71" s="30"/>
      <c r="FA71" s="30"/>
      <c r="FB71" s="30"/>
      <c r="FC71" s="30"/>
      <c r="FD71" s="30"/>
      <c r="FE71" s="30"/>
      <c r="FF71" s="30"/>
      <c r="FG71" s="30">
        <v>96</v>
      </c>
    </row>
    <row r="72" spans="1:163">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c r="CE72" s="30"/>
      <c r="CF72" s="30"/>
      <c r="CG72" s="30"/>
      <c r="CH72" s="30"/>
      <c r="CI72" s="30"/>
      <c r="CJ72" s="30"/>
      <c r="CK72" s="30"/>
      <c r="CL72" s="30"/>
      <c r="CM72" s="30"/>
      <c r="CN72" s="30"/>
      <c r="CO72" s="30"/>
      <c r="CP72" s="30"/>
      <c r="CQ72" s="30"/>
      <c r="CR72" s="30"/>
      <c r="CS72" s="30"/>
      <c r="CT72" s="30"/>
      <c r="CU72" s="30"/>
      <c r="CV72" s="30"/>
      <c r="CW72" s="30"/>
      <c r="CX72" s="30"/>
      <c r="CY72" s="30"/>
      <c r="CZ72" s="30"/>
      <c r="DA72" s="30"/>
      <c r="DB72" s="30"/>
      <c r="DC72" s="30"/>
      <c r="DD72" s="30"/>
      <c r="DE72" s="30"/>
      <c r="DF72" s="30"/>
      <c r="DG72" s="30"/>
      <c r="DH72" s="30"/>
      <c r="DI72" s="30"/>
      <c r="DJ72" s="30"/>
      <c r="DK72" s="30"/>
      <c r="DL72" s="30"/>
      <c r="DM72" s="30"/>
      <c r="DN72" s="30"/>
      <c r="DO72" s="30"/>
      <c r="DP72" s="30"/>
      <c r="DQ72" s="30"/>
      <c r="DR72" s="30"/>
      <c r="DS72" s="30"/>
      <c r="DT72" s="30"/>
      <c r="DU72" s="30"/>
      <c r="DV72" s="30"/>
      <c r="DW72" s="30"/>
      <c r="DX72" s="30"/>
      <c r="DY72" s="30"/>
      <c r="DZ72" s="30"/>
      <c r="EA72" s="30"/>
      <c r="EB72" s="30"/>
      <c r="EC72" s="30"/>
      <c r="ED72" s="30"/>
      <c r="EE72" s="30"/>
      <c r="EF72" s="30"/>
      <c r="EG72" s="30"/>
      <c r="EH72" s="30"/>
      <c r="EI72" s="30"/>
      <c r="EJ72" s="30"/>
      <c r="EK72" s="30"/>
      <c r="EL72" s="30"/>
      <c r="EM72" s="30"/>
      <c r="EN72" s="30"/>
      <c r="EO72" s="30"/>
      <c r="EP72" s="30"/>
      <c r="EQ72" s="30"/>
      <c r="ER72" s="30"/>
      <c r="ES72" s="30"/>
      <c r="ET72" s="30"/>
      <c r="EU72" s="30"/>
      <c r="EV72" s="30"/>
      <c r="EW72" s="30"/>
      <c r="EX72" s="30"/>
      <c r="EY72" s="30"/>
      <c r="EZ72" s="30"/>
      <c r="FA72" s="30"/>
      <c r="FB72" s="30"/>
      <c r="FC72" s="30"/>
      <c r="FD72" s="30"/>
      <c r="FE72" s="30"/>
      <c r="FF72" s="30"/>
      <c r="FG72" s="30">
        <v>97</v>
      </c>
    </row>
    <row r="73" spans="1:16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c r="CE73" s="30"/>
      <c r="CF73" s="30"/>
      <c r="CG73" s="30"/>
      <c r="CH73" s="30"/>
      <c r="CI73" s="30"/>
      <c r="CJ73" s="30"/>
      <c r="CK73" s="30"/>
      <c r="CL73" s="30"/>
      <c r="CM73" s="30"/>
      <c r="CN73" s="30"/>
      <c r="CO73" s="30"/>
      <c r="CP73" s="30"/>
      <c r="CQ73" s="30"/>
      <c r="CR73" s="30"/>
      <c r="CS73" s="30"/>
      <c r="CT73" s="30"/>
      <c r="CU73" s="30"/>
      <c r="CV73" s="30"/>
      <c r="CW73" s="30"/>
      <c r="CX73" s="30"/>
      <c r="CY73" s="30"/>
      <c r="CZ73" s="30"/>
      <c r="DA73" s="30"/>
      <c r="DB73" s="30"/>
      <c r="DC73" s="30"/>
      <c r="DD73" s="30"/>
      <c r="DE73" s="30"/>
      <c r="DF73" s="30"/>
      <c r="DG73" s="30"/>
      <c r="DH73" s="30"/>
      <c r="DI73" s="30"/>
      <c r="DJ73" s="30"/>
      <c r="DK73" s="30"/>
      <c r="DL73" s="30"/>
      <c r="DM73" s="30"/>
      <c r="DN73" s="30"/>
      <c r="DO73" s="30"/>
      <c r="DP73" s="30"/>
      <c r="DQ73" s="30"/>
      <c r="DR73" s="30"/>
      <c r="DS73" s="30"/>
      <c r="DT73" s="30"/>
      <c r="DU73" s="30"/>
      <c r="DV73" s="30"/>
      <c r="DW73" s="30"/>
      <c r="DX73" s="30"/>
      <c r="DY73" s="30"/>
      <c r="DZ73" s="30"/>
      <c r="EA73" s="30"/>
      <c r="EB73" s="30"/>
      <c r="EC73" s="30"/>
      <c r="ED73" s="30"/>
      <c r="EE73" s="30"/>
      <c r="EF73" s="30"/>
      <c r="EG73" s="30"/>
      <c r="EH73" s="30"/>
      <c r="EI73" s="30"/>
      <c r="EJ73" s="30"/>
      <c r="EK73" s="30"/>
      <c r="EL73" s="30"/>
      <c r="EM73" s="30"/>
      <c r="EN73" s="30"/>
      <c r="EO73" s="30"/>
      <c r="EP73" s="30"/>
      <c r="EQ73" s="30"/>
      <c r="ER73" s="30"/>
      <c r="ES73" s="30"/>
      <c r="ET73" s="30"/>
      <c r="EU73" s="30"/>
      <c r="EV73" s="30"/>
      <c r="EW73" s="30"/>
      <c r="EX73" s="30"/>
      <c r="EY73" s="30"/>
      <c r="EZ73" s="30"/>
      <c r="FA73" s="30"/>
      <c r="FB73" s="30"/>
      <c r="FC73" s="30"/>
      <c r="FD73" s="30"/>
      <c r="FE73" s="30"/>
      <c r="FF73" s="30"/>
      <c r="FG73" s="30">
        <v>98</v>
      </c>
    </row>
    <row r="74" spans="1:163">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30"/>
      <c r="DT74" s="30"/>
      <c r="DU74" s="30"/>
      <c r="DV74" s="30"/>
      <c r="DW74" s="30"/>
      <c r="DX74" s="30"/>
      <c r="DY74" s="30"/>
      <c r="DZ74" s="30"/>
      <c r="EA74" s="30"/>
      <c r="EB74" s="30"/>
      <c r="EC74" s="30"/>
      <c r="ED74" s="30"/>
      <c r="EE74" s="30"/>
      <c r="EF74" s="30"/>
      <c r="EG74" s="30"/>
      <c r="EH74" s="30"/>
      <c r="EI74" s="30"/>
      <c r="EJ74" s="30"/>
      <c r="EK74" s="30"/>
      <c r="EL74" s="30"/>
      <c r="EM74" s="30"/>
      <c r="EN74" s="30"/>
      <c r="EO74" s="30"/>
      <c r="EP74" s="30"/>
      <c r="EQ74" s="30"/>
      <c r="ER74" s="30"/>
      <c r="ES74" s="30"/>
      <c r="ET74" s="30"/>
      <c r="EU74" s="30"/>
      <c r="EV74" s="30"/>
      <c r="EW74" s="30"/>
      <c r="EX74" s="30"/>
      <c r="EY74" s="30"/>
      <c r="EZ74" s="30"/>
      <c r="FA74" s="30"/>
      <c r="FB74" s="30"/>
      <c r="FC74" s="30"/>
      <c r="FD74" s="30"/>
      <c r="FE74" s="30"/>
      <c r="FF74" s="30"/>
      <c r="FG74" s="30">
        <v>99</v>
      </c>
    </row>
    <row r="75" spans="1:163">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c r="CE75" s="30"/>
      <c r="CF75" s="30"/>
      <c r="CG75" s="30"/>
      <c r="CH75" s="30"/>
      <c r="CI75" s="30"/>
      <c r="CJ75" s="30"/>
      <c r="CK75" s="30"/>
      <c r="CL75" s="30"/>
      <c r="CM75" s="30"/>
      <c r="CN75" s="30"/>
      <c r="CO75" s="30"/>
      <c r="CP75" s="30"/>
      <c r="CQ75" s="30"/>
      <c r="CR75" s="30"/>
      <c r="CS75" s="30"/>
      <c r="CT75" s="30"/>
      <c r="CU75" s="30"/>
      <c r="CV75" s="30"/>
      <c r="CW75" s="30"/>
      <c r="CX75" s="30"/>
      <c r="CY75" s="30"/>
      <c r="CZ75" s="30"/>
      <c r="DA75" s="30"/>
      <c r="DB75" s="30"/>
      <c r="DC75" s="30"/>
      <c r="DD75" s="30"/>
      <c r="DE75" s="30"/>
      <c r="DF75" s="30"/>
      <c r="DG75" s="30"/>
      <c r="DH75" s="30"/>
      <c r="DI75" s="30"/>
      <c r="DJ75" s="30"/>
      <c r="DK75" s="30"/>
      <c r="DL75" s="30"/>
      <c r="DM75" s="30"/>
      <c r="DN75" s="30"/>
      <c r="DO75" s="30"/>
      <c r="DP75" s="30"/>
      <c r="DQ75" s="30"/>
      <c r="DR75" s="30"/>
      <c r="DS75" s="30"/>
      <c r="DT75" s="30"/>
      <c r="DU75" s="30"/>
      <c r="DV75" s="30"/>
      <c r="DW75" s="30"/>
      <c r="DX75" s="30"/>
      <c r="DY75" s="30"/>
      <c r="DZ75" s="30"/>
      <c r="EA75" s="30"/>
      <c r="EB75" s="30"/>
      <c r="EC75" s="30"/>
      <c r="ED75" s="30"/>
      <c r="EE75" s="30"/>
      <c r="EF75" s="30"/>
      <c r="EG75" s="30"/>
      <c r="EH75" s="30"/>
      <c r="EI75" s="30"/>
      <c r="EJ75" s="30"/>
      <c r="EK75" s="30"/>
      <c r="EL75" s="30"/>
      <c r="EM75" s="30"/>
      <c r="EN75" s="30"/>
      <c r="EO75" s="30"/>
      <c r="EP75" s="30"/>
      <c r="EQ75" s="30"/>
      <c r="ER75" s="30"/>
      <c r="ES75" s="30"/>
      <c r="ET75" s="30"/>
      <c r="EU75" s="30"/>
      <c r="EV75" s="30"/>
      <c r="EW75" s="30"/>
      <c r="EX75" s="30"/>
      <c r="EY75" s="30"/>
      <c r="EZ75" s="30"/>
      <c r="FA75" s="30"/>
      <c r="FB75" s="30"/>
      <c r="FC75" s="30"/>
      <c r="FD75" s="30"/>
      <c r="FE75" s="30"/>
      <c r="FF75" s="30"/>
      <c r="FG75" s="30">
        <v>100</v>
      </c>
    </row>
    <row r="76" spans="1:163">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c r="CE76" s="30"/>
      <c r="CF76" s="30"/>
      <c r="CG76" s="30"/>
      <c r="CH76" s="30"/>
      <c r="CI76" s="30"/>
      <c r="CJ76" s="30"/>
      <c r="CK76" s="30"/>
      <c r="CL76" s="30"/>
      <c r="CM76" s="30"/>
      <c r="CN76" s="30"/>
      <c r="CO76" s="30"/>
      <c r="CP76" s="30"/>
      <c r="CQ76" s="30"/>
      <c r="CR76" s="30"/>
      <c r="CS76" s="30"/>
      <c r="CT76" s="30"/>
      <c r="CU76" s="30"/>
      <c r="CV76" s="30"/>
      <c r="CW76" s="30"/>
      <c r="CX76" s="30"/>
      <c r="CY76" s="30"/>
      <c r="CZ76" s="30"/>
      <c r="DA76" s="30"/>
      <c r="DB76" s="30"/>
      <c r="DC76" s="30"/>
      <c r="DD76" s="30"/>
      <c r="DE76" s="30"/>
      <c r="DF76" s="30"/>
      <c r="DG76" s="30"/>
      <c r="DH76" s="30"/>
      <c r="DI76" s="30"/>
      <c r="DJ76" s="30"/>
      <c r="DK76" s="30"/>
      <c r="DL76" s="30"/>
      <c r="DM76" s="30"/>
      <c r="DN76" s="30"/>
      <c r="DO76" s="30"/>
      <c r="DP76" s="30"/>
      <c r="DQ76" s="30"/>
      <c r="DR76" s="30"/>
      <c r="DS76" s="30"/>
      <c r="DT76" s="30"/>
      <c r="DU76" s="30"/>
      <c r="DV76" s="30"/>
      <c r="DW76" s="30"/>
      <c r="DX76" s="30"/>
      <c r="DY76" s="30"/>
      <c r="DZ76" s="30"/>
      <c r="EA76" s="30"/>
      <c r="EB76" s="30"/>
      <c r="EC76" s="30"/>
      <c r="ED76" s="30"/>
      <c r="EE76" s="30"/>
      <c r="EF76" s="30"/>
      <c r="EG76" s="30"/>
      <c r="EH76" s="30"/>
      <c r="EI76" s="30"/>
      <c r="EJ76" s="30"/>
      <c r="EK76" s="30"/>
      <c r="EL76" s="30"/>
      <c r="EM76" s="30"/>
      <c r="EN76" s="30"/>
      <c r="EO76" s="30"/>
      <c r="EP76" s="30"/>
      <c r="EQ76" s="30"/>
      <c r="ER76" s="30"/>
      <c r="ES76" s="30"/>
      <c r="ET76" s="30"/>
      <c r="EU76" s="30"/>
      <c r="EV76" s="30"/>
      <c r="EW76" s="30"/>
      <c r="EX76" s="30"/>
      <c r="EY76" s="30"/>
      <c r="EZ76" s="30"/>
      <c r="FA76" s="30"/>
      <c r="FB76" s="30"/>
      <c r="FC76" s="30"/>
      <c r="FD76" s="30"/>
      <c r="FE76" s="30"/>
      <c r="FF76" s="30"/>
      <c r="FG76" s="30">
        <v>101</v>
      </c>
    </row>
    <row r="77" spans="1:163">
      <c r="A77" s="104"/>
      <c r="B77" s="104"/>
      <c r="C77" s="104"/>
      <c r="D77" s="104"/>
      <c r="E77" s="104"/>
      <c r="F77" s="104"/>
      <c r="G77" s="104"/>
      <c r="H77" s="104"/>
      <c r="I77" s="104"/>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c r="CE77" s="30"/>
      <c r="CF77" s="30"/>
      <c r="CG77" s="30"/>
      <c r="CH77" s="30"/>
      <c r="CI77" s="30"/>
      <c r="CJ77" s="30"/>
      <c r="CK77" s="30"/>
      <c r="CL77" s="30"/>
      <c r="CM77" s="30"/>
      <c r="CN77" s="30"/>
      <c r="CO77" s="30"/>
      <c r="CP77" s="30"/>
      <c r="CQ77" s="30"/>
      <c r="CR77" s="30"/>
      <c r="CS77" s="30"/>
      <c r="CT77" s="30"/>
      <c r="CU77" s="30"/>
      <c r="CV77" s="30"/>
      <c r="CW77" s="30"/>
      <c r="CX77" s="30"/>
      <c r="CY77" s="30"/>
      <c r="CZ77" s="30"/>
      <c r="DA77" s="30"/>
      <c r="DB77" s="30"/>
      <c r="DC77" s="30"/>
      <c r="DD77" s="30"/>
      <c r="DE77" s="30"/>
      <c r="DF77" s="30"/>
      <c r="DG77" s="30"/>
      <c r="DH77" s="30"/>
      <c r="DI77" s="30"/>
      <c r="DJ77" s="30"/>
      <c r="DK77" s="30"/>
      <c r="DL77" s="30"/>
      <c r="DM77" s="30"/>
      <c r="DN77" s="30"/>
      <c r="DO77" s="30"/>
      <c r="DP77" s="30"/>
      <c r="DQ77" s="30"/>
      <c r="DR77" s="30"/>
      <c r="DS77" s="30"/>
      <c r="DT77" s="30"/>
      <c r="DU77" s="30"/>
      <c r="DV77" s="30"/>
      <c r="DW77" s="30"/>
      <c r="DX77" s="30"/>
      <c r="DY77" s="30"/>
      <c r="DZ77" s="30"/>
      <c r="EA77" s="30"/>
      <c r="EB77" s="30"/>
      <c r="EC77" s="30"/>
      <c r="ED77" s="30"/>
      <c r="EE77" s="30"/>
      <c r="EF77" s="30"/>
      <c r="EG77" s="30"/>
      <c r="EH77" s="30"/>
      <c r="EI77" s="30"/>
      <c r="EJ77" s="30"/>
      <c r="EK77" s="30"/>
      <c r="EL77" s="30"/>
      <c r="EM77" s="30"/>
      <c r="EN77" s="30"/>
      <c r="EO77" s="30"/>
      <c r="EP77" s="30"/>
      <c r="EQ77" s="30"/>
      <c r="ER77" s="30"/>
      <c r="ES77" s="30"/>
      <c r="ET77" s="30"/>
      <c r="EU77" s="30"/>
      <c r="EV77" s="30"/>
      <c r="EW77" s="30"/>
      <c r="EX77" s="30"/>
      <c r="EY77" s="30"/>
      <c r="EZ77" s="30"/>
      <c r="FA77" s="30"/>
      <c r="FB77" s="30"/>
      <c r="FC77" s="30"/>
      <c r="FD77" s="30"/>
      <c r="FE77" s="30"/>
      <c r="FF77" s="30"/>
      <c r="FG77" s="30">
        <v>102</v>
      </c>
    </row>
    <row r="78" spans="1:163">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c r="CE78" s="30"/>
      <c r="CF78" s="30"/>
      <c r="CG78" s="30"/>
      <c r="CH78" s="30"/>
      <c r="CI78" s="30"/>
      <c r="CJ78" s="30"/>
      <c r="CK78" s="30"/>
      <c r="CL78" s="30"/>
      <c r="CM78" s="30"/>
      <c r="CN78" s="30"/>
      <c r="CO78" s="30"/>
      <c r="CP78" s="30"/>
      <c r="CQ78" s="30"/>
      <c r="CR78" s="30"/>
      <c r="CS78" s="30"/>
      <c r="CT78" s="30"/>
      <c r="CU78" s="30"/>
      <c r="CV78" s="30"/>
      <c r="CW78" s="30"/>
      <c r="CX78" s="30"/>
      <c r="CY78" s="30"/>
      <c r="CZ78" s="30"/>
      <c r="DA78" s="30"/>
      <c r="DB78" s="30"/>
      <c r="DC78" s="30"/>
      <c r="DD78" s="30"/>
      <c r="DE78" s="30"/>
      <c r="DF78" s="30"/>
      <c r="DG78" s="30"/>
      <c r="DH78" s="30"/>
      <c r="DI78" s="30"/>
      <c r="DJ78" s="30"/>
      <c r="DK78" s="30"/>
      <c r="DL78" s="30"/>
      <c r="DM78" s="30"/>
      <c r="DN78" s="30"/>
      <c r="DO78" s="30"/>
      <c r="DP78" s="30"/>
      <c r="DQ78" s="30"/>
      <c r="DR78" s="30"/>
      <c r="DS78" s="30"/>
      <c r="DT78" s="30"/>
      <c r="DU78" s="30"/>
      <c r="DV78" s="30"/>
      <c r="DW78" s="30"/>
      <c r="DX78" s="30"/>
      <c r="DY78" s="30"/>
      <c r="DZ78" s="30"/>
      <c r="EA78" s="30"/>
      <c r="EB78" s="30"/>
      <c r="EC78" s="30"/>
      <c r="ED78" s="30"/>
      <c r="EE78" s="30"/>
      <c r="EF78" s="30"/>
      <c r="EG78" s="30"/>
      <c r="EH78" s="30"/>
      <c r="EI78" s="30"/>
      <c r="EJ78" s="30"/>
      <c r="EK78" s="30"/>
      <c r="EL78" s="30"/>
      <c r="EM78" s="30"/>
      <c r="EN78" s="30"/>
      <c r="EO78" s="30"/>
      <c r="EP78" s="30"/>
      <c r="EQ78" s="30"/>
      <c r="ER78" s="30"/>
      <c r="ES78" s="30"/>
      <c r="ET78" s="30"/>
      <c r="EU78" s="30"/>
      <c r="EV78" s="30"/>
      <c r="EW78" s="30"/>
      <c r="EX78" s="30"/>
      <c r="EY78" s="30"/>
      <c r="EZ78" s="30"/>
      <c r="FA78" s="30"/>
      <c r="FB78" s="30"/>
      <c r="FC78" s="30"/>
      <c r="FD78" s="30"/>
      <c r="FE78" s="30"/>
      <c r="FF78" s="30"/>
      <c r="FG78" s="30">
        <v>103</v>
      </c>
    </row>
    <row r="79" spans="1:163">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30"/>
      <c r="EJ79" s="30"/>
      <c r="EK79" s="30"/>
      <c r="EL79" s="30"/>
      <c r="EM79" s="30"/>
      <c r="EN79" s="30"/>
      <c r="EO79" s="30"/>
      <c r="EP79" s="30"/>
      <c r="EQ79" s="30"/>
      <c r="ER79" s="30"/>
      <c r="ES79" s="30"/>
      <c r="ET79" s="30"/>
      <c r="EU79" s="30"/>
      <c r="EV79" s="30"/>
      <c r="EW79" s="30"/>
      <c r="EX79" s="30"/>
      <c r="EY79" s="30"/>
      <c r="EZ79" s="30"/>
      <c r="FA79" s="30"/>
      <c r="FB79" s="30"/>
      <c r="FC79" s="30"/>
      <c r="FD79" s="30"/>
      <c r="FE79" s="30"/>
      <c r="FF79" s="30"/>
      <c r="FG79" s="30">
        <v>104</v>
      </c>
    </row>
    <row r="80" spans="1:163">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30"/>
      <c r="CH80" s="30"/>
      <c r="CI80" s="30"/>
      <c r="CJ80" s="30"/>
      <c r="CK80" s="30"/>
      <c r="CL80" s="30"/>
      <c r="CM80" s="30"/>
      <c r="CN80" s="30"/>
      <c r="CO80" s="30"/>
      <c r="CP80" s="30"/>
      <c r="CQ80" s="30"/>
      <c r="CR80" s="30"/>
      <c r="CS80" s="30"/>
      <c r="CT80" s="30"/>
      <c r="CU80" s="30"/>
      <c r="CV80" s="30"/>
      <c r="CW80" s="30"/>
      <c r="CX80" s="30"/>
      <c r="CY80" s="30"/>
      <c r="CZ80" s="30"/>
      <c r="DA80" s="30"/>
      <c r="DB80" s="30"/>
      <c r="DC80" s="30"/>
      <c r="DD80" s="30"/>
      <c r="DE80" s="30"/>
      <c r="DF80" s="30"/>
      <c r="DG80" s="30"/>
      <c r="DH80" s="30"/>
      <c r="DI80" s="30"/>
      <c r="DJ80" s="30"/>
      <c r="DK80" s="30"/>
      <c r="DL80" s="30"/>
      <c r="DM80" s="30"/>
      <c r="DN80" s="30"/>
      <c r="DO80" s="30"/>
      <c r="DP80" s="30"/>
      <c r="DQ80" s="30"/>
      <c r="DR80" s="30"/>
      <c r="DS80" s="30"/>
      <c r="DT80" s="30"/>
      <c r="DU80" s="30"/>
      <c r="DV80" s="30"/>
      <c r="DW80" s="30"/>
      <c r="DX80" s="30"/>
      <c r="DY80" s="30"/>
      <c r="DZ80" s="30"/>
      <c r="EA80" s="30"/>
      <c r="EB80" s="30"/>
      <c r="EC80" s="30"/>
      <c r="ED80" s="30"/>
      <c r="EE80" s="30"/>
      <c r="EF80" s="30"/>
      <c r="EG80" s="30"/>
      <c r="EH80" s="30"/>
      <c r="EI80" s="30"/>
      <c r="EJ80" s="30"/>
      <c r="EK80" s="30"/>
      <c r="EL80" s="30"/>
      <c r="EM80" s="30"/>
      <c r="EN80" s="30"/>
      <c r="EO80" s="30"/>
      <c r="EP80" s="30"/>
      <c r="EQ80" s="30"/>
      <c r="ER80" s="30"/>
      <c r="ES80" s="30"/>
      <c r="ET80" s="30"/>
      <c r="EU80" s="30"/>
      <c r="EV80" s="30"/>
      <c r="EW80" s="30"/>
      <c r="EX80" s="30"/>
      <c r="EY80" s="30"/>
      <c r="EZ80" s="30"/>
      <c r="FA80" s="30"/>
      <c r="FB80" s="30"/>
      <c r="FC80" s="30"/>
      <c r="FD80" s="30"/>
      <c r="FE80" s="30"/>
      <c r="FF80" s="30"/>
      <c r="FG80" s="30">
        <v>105</v>
      </c>
    </row>
    <row r="81" spans="163:163">
      <c r="FG81" s="30">
        <v>106</v>
      </c>
    </row>
    <row r="82" spans="163:163">
      <c r="FG82" s="30">
        <v>107</v>
      </c>
    </row>
    <row r="83" spans="163:163">
      <c r="FG83" s="30">
        <v>108</v>
      </c>
    </row>
    <row r="84" spans="163:163">
      <c r="FG84" s="30">
        <v>109</v>
      </c>
    </row>
    <row r="85" spans="163:163">
      <c r="FG85" s="30">
        <v>110</v>
      </c>
    </row>
    <row r="86" spans="163:163">
      <c r="FG86" s="30">
        <v>111</v>
      </c>
    </row>
    <row r="87" spans="163:163">
      <c r="FG87" s="30">
        <v>112</v>
      </c>
    </row>
    <row r="88" spans="163:163">
      <c r="FG88" s="30">
        <v>113</v>
      </c>
    </row>
    <row r="89" spans="163:163">
      <c r="FG89" s="30">
        <v>114</v>
      </c>
    </row>
    <row r="90" spans="163:163">
      <c r="FG90" s="30">
        <v>115</v>
      </c>
    </row>
    <row r="91" spans="163:163">
      <c r="FG91" s="30">
        <v>116</v>
      </c>
    </row>
    <row r="92" spans="163:163">
      <c r="FG92" s="30">
        <v>117</v>
      </c>
    </row>
    <row r="93" spans="163:163">
      <c r="FG93" s="30">
        <v>118</v>
      </c>
    </row>
    <row r="94" spans="163:163">
      <c r="FG94" s="30">
        <v>119</v>
      </c>
    </row>
    <row r="95" spans="163:163">
      <c r="FG95" s="30">
        <v>120</v>
      </c>
    </row>
    <row r="96" spans="163:163">
      <c r="FG96" s="30">
        <v>121</v>
      </c>
    </row>
    <row r="97" spans="163:163">
      <c r="FG97" s="30">
        <v>122</v>
      </c>
    </row>
    <row r="98" spans="163:163">
      <c r="FG98" s="30">
        <v>123</v>
      </c>
    </row>
    <row r="99" spans="163:163">
      <c r="FG99" s="30">
        <v>124</v>
      </c>
    </row>
    <row r="100" spans="163:163">
      <c r="FG100" s="30">
        <v>125</v>
      </c>
    </row>
    <row r="101" spans="163:163">
      <c r="FG101" s="30">
        <v>126</v>
      </c>
    </row>
    <row r="102" spans="163:163">
      <c r="FG102" s="30">
        <v>127</v>
      </c>
    </row>
    <row r="103" spans="163:163">
      <c r="FG103" s="30">
        <v>128</v>
      </c>
    </row>
    <row r="104" spans="163:163">
      <c r="FG104" s="30">
        <v>129</v>
      </c>
    </row>
    <row r="105" spans="163:163">
      <c r="FG105" s="30">
        <v>130</v>
      </c>
    </row>
    <row r="106" spans="163:163">
      <c r="FG106" s="30">
        <v>131</v>
      </c>
    </row>
    <row r="107" spans="163:163">
      <c r="FG107" s="30">
        <v>132</v>
      </c>
    </row>
    <row r="108" spans="163:163">
      <c r="FG108" s="30">
        <v>133</v>
      </c>
    </row>
    <row r="109" spans="163:163">
      <c r="FG109" s="30">
        <v>134</v>
      </c>
    </row>
    <row r="110" spans="163:163">
      <c r="FG110" s="30">
        <v>135</v>
      </c>
    </row>
    <row r="111" spans="163:163">
      <c r="FG111" s="30">
        <v>136</v>
      </c>
    </row>
    <row r="112" spans="163:163">
      <c r="FG112" s="30">
        <v>137</v>
      </c>
    </row>
    <row r="113" spans="163:163">
      <c r="FG113" s="30">
        <v>138</v>
      </c>
    </row>
    <row r="114" spans="163:163">
      <c r="FG114" s="30">
        <v>139</v>
      </c>
    </row>
    <row r="115" spans="163:163">
      <c r="FG115" s="30">
        <v>140</v>
      </c>
    </row>
    <row r="116" spans="163:163">
      <c r="FG116" s="30">
        <v>141</v>
      </c>
    </row>
    <row r="117" spans="163:163">
      <c r="FG117" s="30">
        <v>142</v>
      </c>
    </row>
    <row r="118" spans="163:163">
      <c r="FG118" s="30">
        <v>143</v>
      </c>
    </row>
    <row r="119" spans="163:163">
      <c r="FG119" s="30">
        <v>144</v>
      </c>
    </row>
    <row r="120" spans="163:163">
      <c r="FG120" s="30">
        <v>145</v>
      </c>
    </row>
    <row r="121" spans="163:163">
      <c r="FG121" s="30">
        <v>146</v>
      </c>
    </row>
    <row r="122" spans="163:163">
      <c r="FG122" s="30">
        <v>147</v>
      </c>
    </row>
    <row r="123" spans="163:163">
      <c r="FG123" s="30">
        <v>148</v>
      </c>
    </row>
    <row r="124" spans="163:163">
      <c r="FG124" s="30">
        <v>149</v>
      </c>
    </row>
    <row r="125" spans="163:163">
      <c r="FG125" s="30">
        <v>150</v>
      </c>
    </row>
    <row r="126" spans="163:163">
      <c r="FG126" s="30">
        <v>151</v>
      </c>
    </row>
    <row r="127" spans="163:163">
      <c r="FG127" s="30">
        <v>152</v>
      </c>
    </row>
    <row r="128" spans="163:163">
      <c r="FG128" s="30">
        <v>153</v>
      </c>
    </row>
    <row r="129" spans="1:163">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c r="CH129" s="30"/>
      <c r="CI129" s="30"/>
      <c r="CJ129" s="30"/>
      <c r="CK129" s="30"/>
      <c r="CL129" s="30"/>
      <c r="CM129" s="30"/>
      <c r="CN129" s="30"/>
      <c r="CO129" s="30"/>
      <c r="CP129" s="30"/>
      <c r="CQ129" s="30"/>
      <c r="CR129" s="30"/>
      <c r="CS129" s="30"/>
      <c r="CT129" s="30"/>
      <c r="CU129" s="30"/>
      <c r="CV129" s="30"/>
      <c r="CW129" s="30"/>
      <c r="CX129" s="30"/>
      <c r="CY129" s="30"/>
      <c r="CZ129" s="30"/>
      <c r="DA129" s="30"/>
      <c r="DB129" s="30"/>
      <c r="DC129" s="30"/>
      <c r="DD129" s="30"/>
      <c r="DE129" s="30"/>
      <c r="DF129" s="30"/>
      <c r="DG129" s="30"/>
      <c r="DH129" s="30"/>
      <c r="DI129" s="30"/>
      <c r="DJ129" s="30"/>
      <c r="DK129" s="30"/>
      <c r="DL129" s="30"/>
      <c r="DM129" s="30"/>
      <c r="DN129" s="30"/>
      <c r="DO129" s="30"/>
      <c r="DP129" s="30"/>
      <c r="DQ129" s="30"/>
      <c r="DR129" s="30"/>
      <c r="DS129" s="30"/>
      <c r="DT129" s="30"/>
      <c r="DU129" s="30"/>
      <c r="DV129" s="30"/>
      <c r="DW129" s="30"/>
      <c r="DX129" s="30"/>
      <c r="DY129" s="30"/>
      <c r="DZ129" s="30"/>
      <c r="EA129" s="30"/>
      <c r="EB129" s="30"/>
      <c r="EC129" s="30"/>
      <c r="ED129" s="30"/>
      <c r="EE129" s="30"/>
      <c r="EF129" s="30"/>
      <c r="EG129" s="30"/>
      <c r="EH129" s="30"/>
      <c r="EI129" s="30"/>
      <c r="EJ129" s="30"/>
      <c r="EK129" s="30"/>
      <c r="EL129" s="30"/>
      <c r="EM129" s="30"/>
      <c r="EN129" s="30"/>
      <c r="EO129" s="30"/>
      <c r="EP129" s="30"/>
      <c r="EQ129" s="30"/>
      <c r="ER129" s="30"/>
      <c r="ES129" s="30"/>
      <c r="ET129" s="30"/>
      <c r="EU129" s="30"/>
      <c r="EV129" s="30"/>
      <c r="EW129" s="30"/>
      <c r="EX129" s="30"/>
      <c r="EY129" s="30"/>
      <c r="EZ129" s="30"/>
      <c r="FA129" s="30"/>
      <c r="FB129" s="30"/>
      <c r="FC129" s="30"/>
      <c r="FD129" s="30"/>
      <c r="FE129" s="30"/>
      <c r="FF129" s="30"/>
      <c r="FG129" s="30">
        <v>154</v>
      </c>
    </row>
    <row r="130" spans="1:163">
      <c r="A130" s="30">
        <v>1</v>
      </c>
      <c r="B130" s="30">
        <v>0</v>
      </c>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c r="CE130" s="30"/>
      <c r="CF130" s="30"/>
      <c r="CG130" s="30"/>
      <c r="CH130" s="30"/>
      <c r="CI130" s="30"/>
      <c r="CJ130" s="30"/>
      <c r="CK130" s="30"/>
      <c r="CL130" s="30"/>
      <c r="CM130" s="30"/>
      <c r="CN130" s="30"/>
      <c r="CO130" s="30"/>
      <c r="CP130" s="30"/>
      <c r="CQ130" s="30"/>
      <c r="CR130" s="30"/>
      <c r="CS130" s="30"/>
      <c r="CT130" s="30"/>
      <c r="CU130" s="30"/>
      <c r="CV130" s="30"/>
      <c r="CW130" s="30"/>
      <c r="CX130" s="30"/>
      <c r="CY130" s="30"/>
      <c r="CZ130" s="30"/>
      <c r="DA130" s="30"/>
      <c r="DB130" s="30"/>
      <c r="DC130" s="30"/>
      <c r="DD130" s="30"/>
      <c r="DE130" s="30"/>
      <c r="DF130" s="30"/>
      <c r="DG130" s="30"/>
      <c r="DH130" s="30"/>
      <c r="DI130" s="30"/>
      <c r="DJ130" s="30"/>
      <c r="DK130" s="30"/>
      <c r="DL130" s="30"/>
      <c r="DM130" s="30"/>
      <c r="DN130" s="30"/>
      <c r="DO130" s="30"/>
      <c r="DP130" s="30"/>
      <c r="DQ130" s="30"/>
      <c r="DR130" s="30"/>
      <c r="DS130" s="30"/>
      <c r="DT130" s="30"/>
      <c r="DU130" s="30"/>
      <c r="DV130" s="30"/>
      <c r="DW130" s="30"/>
      <c r="DX130" s="30"/>
      <c r="DY130" s="30"/>
      <c r="DZ130" s="30"/>
      <c r="EA130" s="30"/>
      <c r="EB130" s="30"/>
      <c r="EC130" s="30"/>
      <c r="ED130" s="30"/>
      <c r="EE130" s="30"/>
      <c r="EF130" s="30"/>
      <c r="EG130" s="30"/>
      <c r="EH130" s="30"/>
      <c r="EI130" s="30"/>
      <c r="EJ130" s="30"/>
      <c r="EK130" s="30"/>
      <c r="EL130" s="30"/>
      <c r="EM130" s="30"/>
      <c r="EN130" s="30"/>
      <c r="EO130" s="30"/>
      <c r="EP130" s="30"/>
      <c r="EQ130" s="30"/>
      <c r="ER130" s="30"/>
      <c r="ES130" s="30"/>
      <c r="ET130" s="30"/>
      <c r="EU130" s="30"/>
      <c r="EV130" s="30"/>
      <c r="EW130" s="30"/>
      <c r="EX130" s="30"/>
      <c r="EY130" s="30"/>
      <c r="EZ130" s="30"/>
      <c r="FA130" s="30"/>
      <c r="FB130" s="30"/>
      <c r="FC130" s="30"/>
      <c r="FD130" s="30"/>
      <c r="FE130" s="30"/>
      <c r="FF130" s="30"/>
      <c r="FG130" s="30">
        <v>155</v>
      </c>
    </row>
    <row r="131" spans="1:163">
      <c r="A131" s="30">
        <v>2</v>
      </c>
      <c r="B131" s="30">
        <v>0</v>
      </c>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c r="CE131" s="30"/>
      <c r="CF131" s="30"/>
      <c r="CG131" s="30"/>
      <c r="CH131" s="30"/>
      <c r="CI131" s="30"/>
      <c r="CJ131" s="30"/>
      <c r="CK131" s="30"/>
      <c r="CL131" s="30"/>
      <c r="CM131" s="30"/>
      <c r="CN131" s="30"/>
      <c r="CO131" s="30"/>
      <c r="CP131" s="30"/>
      <c r="CQ131" s="30"/>
      <c r="CR131" s="30"/>
      <c r="CS131" s="30"/>
      <c r="CT131" s="30"/>
      <c r="CU131" s="30"/>
      <c r="CV131" s="30"/>
      <c r="CW131" s="30"/>
      <c r="CX131" s="30"/>
      <c r="CY131" s="30"/>
      <c r="CZ131" s="30"/>
      <c r="DA131" s="30"/>
      <c r="DB131" s="30"/>
      <c r="DC131" s="30"/>
      <c r="DD131" s="30"/>
      <c r="DE131" s="30"/>
      <c r="DF131" s="30"/>
      <c r="DG131" s="30"/>
      <c r="DH131" s="30"/>
      <c r="DI131" s="30"/>
      <c r="DJ131" s="30"/>
      <c r="DK131" s="30"/>
      <c r="DL131" s="30"/>
      <c r="DM131" s="30"/>
      <c r="DN131" s="30"/>
      <c r="DO131" s="30"/>
      <c r="DP131" s="30"/>
      <c r="DQ131" s="30"/>
      <c r="DR131" s="30"/>
      <c r="DS131" s="30"/>
      <c r="DT131" s="30"/>
      <c r="DU131" s="30"/>
      <c r="DV131" s="30"/>
      <c r="DW131" s="30"/>
      <c r="DX131" s="30"/>
      <c r="DY131" s="30"/>
      <c r="DZ131" s="30"/>
      <c r="EA131" s="30"/>
      <c r="EB131" s="30"/>
      <c r="EC131" s="30"/>
      <c r="ED131" s="30"/>
      <c r="EE131" s="30"/>
      <c r="EF131" s="30"/>
      <c r="EG131" s="30"/>
      <c r="EH131" s="30"/>
      <c r="EI131" s="30"/>
      <c r="EJ131" s="30"/>
      <c r="EK131" s="30"/>
      <c r="EL131" s="30"/>
      <c r="EM131" s="30"/>
      <c r="EN131" s="30"/>
      <c r="EO131" s="30"/>
      <c r="EP131" s="30"/>
      <c r="EQ131" s="30"/>
      <c r="ER131" s="30"/>
      <c r="ES131" s="30"/>
      <c r="ET131" s="30"/>
      <c r="EU131" s="30"/>
      <c r="EV131" s="30"/>
      <c r="EW131" s="30"/>
      <c r="EX131" s="30"/>
      <c r="EY131" s="30"/>
      <c r="EZ131" s="30"/>
      <c r="FA131" s="30"/>
      <c r="FB131" s="30"/>
      <c r="FC131" s="30"/>
      <c r="FD131" s="30"/>
      <c r="FE131" s="30"/>
      <c r="FF131" s="30"/>
      <c r="FG131" s="30">
        <v>156</v>
      </c>
    </row>
    <row r="132" spans="1:163">
      <c r="A132" s="30">
        <v>3</v>
      </c>
      <c r="B132" s="30">
        <v>0</v>
      </c>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c r="CE132" s="30"/>
      <c r="CF132" s="30"/>
      <c r="CG132" s="30"/>
      <c r="CH132" s="30"/>
      <c r="CI132" s="30"/>
      <c r="CJ132" s="30"/>
      <c r="CK132" s="30"/>
      <c r="CL132" s="30"/>
      <c r="CM132" s="30"/>
      <c r="CN132" s="30"/>
      <c r="CO132" s="30"/>
      <c r="CP132" s="30"/>
      <c r="CQ132" s="30"/>
      <c r="CR132" s="30"/>
      <c r="CS132" s="30"/>
      <c r="CT132" s="30"/>
      <c r="CU132" s="30"/>
      <c r="CV132" s="30"/>
      <c r="CW132" s="30"/>
      <c r="CX132" s="30"/>
      <c r="CY132" s="30"/>
      <c r="CZ132" s="30"/>
      <c r="DA132" s="30"/>
      <c r="DB132" s="30"/>
      <c r="DC132" s="30"/>
      <c r="DD132" s="30"/>
      <c r="DE132" s="30"/>
      <c r="DF132" s="30"/>
      <c r="DG132" s="30"/>
      <c r="DH132" s="30"/>
      <c r="DI132" s="30"/>
      <c r="DJ132" s="30"/>
      <c r="DK132" s="30"/>
      <c r="DL132" s="30"/>
      <c r="DM132" s="30"/>
      <c r="DN132" s="30"/>
      <c r="DO132" s="30"/>
      <c r="DP132" s="30"/>
      <c r="DQ132" s="30"/>
      <c r="DR132" s="30"/>
      <c r="DS132" s="30"/>
      <c r="DT132" s="30"/>
      <c r="DU132" s="30"/>
      <c r="DV132" s="30"/>
      <c r="DW132" s="30"/>
      <c r="DX132" s="30"/>
      <c r="DY132" s="30"/>
      <c r="DZ132" s="30"/>
      <c r="EA132" s="30"/>
      <c r="EB132" s="30"/>
      <c r="EC132" s="30"/>
      <c r="ED132" s="30"/>
      <c r="EE132" s="30"/>
      <c r="EF132" s="30"/>
      <c r="EG132" s="30"/>
      <c r="EH132" s="30"/>
      <c r="EI132" s="30"/>
      <c r="EJ132" s="30"/>
      <c r="EK132" s="30"/>
      <c r="EL132" s="30"/>
      <c r="EM132" s="30"/>
      <c r="EN132" s="30"/>
      <c r="EO132" s="30"/>
      <c r="EP132" s="30"/>
      <c r="EQ132" s="30"/>
      <c r="ER132" s="30"/>
      <c r="ES132" s="30"/>
      <c r="ET132" s="30"/>
      <c r="EU132" s="30"/>
      <c r="EV132" s="30"/>
      <c r="EW132" s="30"/>
      <c r="EX132" s="30"/>
      <c r="EY132" s="30"/>
      <c r="EZ132" s="30"/>
      <c r="FA132" s="30"/>
      <c r="FB132" s="30"/>
      <c r="FC132" s="30"/>
      <c r="FD132" s="30"/>
      <c r="FE132" s="30"/>
      <c r="FF132" s="30"/>
      <c r="FG132" s="30">
        <v>157</v>
      </c>
    </row>
    <row r="133" spans="1:163">
      <c r="A133" s="30">
        <v>4</v>
      </c>
      <c r="B133" s="30">
        <v>0</v>
      </c>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c r="CE133" s="30"/>
      <c r="CF133" s="30"/>
      <c r="CG133" s="30"/>
      <c r="CH133" s="30"/>
      <c r="CI133" s="30"/>
      <c r="CJ133" s="30"/>
      <c r="CK133" s="30"/>
      <c r="CL133" s="30"/>
      <c r="CM133" s="30"/>
      <c r="CN133" s="30"/>
      <c r="CO133" s="30"/>
      <c r="CP133" s="30"/>
      <c r="CQ133" s="30"/>
      <c r="CR133" s="30"/>
      <c r="CS133" s="30"/>
      <c r="CT133" s="30"/>
      <c r="CU133" s="30"/>
      <c r="CV133" s="30"/>
      <c r="CW133" s="30"/>
      <c r="CX133" s="30"/>
      <c r="CY133" s="30"/>
      <c r="CZ133" s="30"/>
      <c r="DA133" s="30"/>
      <c r="DB133" s="30"/>
      <c r="DC133" s="30"/>
      <c r="DD133" s="30"/>
      <c r="DE133" s="30"/>
      <c r="DF133" s="30"/>
      <c r="DG133" s="30"/>
      <c r="DH133" s="30"/>
      <c r="DI133" s="30"/>
      <c r="DJ133" s="30"/>
      <c r="DK133" s="30"/>
      <c r="DL133" s="30"/>
      <c r="DM133" s="30"/>
      <c r="DN133" s="30"/>
      <c r="DO133" s="30"/>
      <c r="DP133" s="30"/>
      <c r="DQ133" s="30"/>
      <c r="DR133" s="30"/>
      <c r="DS133" s="30"/>
      <c r="DT133" s="30"/>
      <c r="DU133" s="30"/>
      <c r="DV133" s="30"/>
      <c r="DW133" s="30"/>
      <c r="DX133" s="30"/>
      <c r="DY133" s="30"/>
      <c r="DZ133" s="30"/>
      <c r="EA133" s="30"/>
      <c r="EB133" s="30"/>
      <c r="EC133" s="30"/>
      <c r="ED133" s="30"/>
      <c r="EE133" s="30"/>
      <c r="EF133" s="30"/>
      <c r="EG133" s="30"/>
      <c r="EH133" s="30"/>
      <c r="EI133" s="30"/>
      <c r="EJ133" s="30"/>
      <c r="EK133" s="30"/>
      <c r="EL133" s="30"/>
      <c r="EM133" s="30"/>
      <c r="EN133" s="30"/>
      <c r="EO133" s="30"/>
      <c r="EP133" s="30"/>
      <c r="EQ133" s="30"/>
      <c r="ER133" s="30"/>
      <c r="ES133" s="30"/>
      <c r="ET133" s="30"/>
      <c r="EU133" s="30"/>
      <c r="EV133" s="30"/>
      <c r="EW133" s="30"/>
      <c r="EX133" s="30"/>
      <c r="EY133" s="30"/>
      <c r="EZ133" s="30"/>
      <c r="FA133" s="30"/>
      <c r="FB133" s="30"/>
      <c r="FC133" s="30"/>
      <c r="FD133" s="30"/>
      <c r="FE133" s="30"/>
      <c r="FF133" s="30"/>
      <c r="FG133" s="30">
        <v>158</v>
      </c>
    </row>
    <row r="134" spans="1:163">
      <c r="A134" s="30">
        <v>5</v>
      </c>
      <c r="B134" s="30">
        <v>0</v>
      </c>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c r="CE134" s="30"/>
      <c r="CF134" s="30"/>
      <c r="CG134" s="30"/>
      <c r="CH134" s="30"/>
      <c r="CI134" s="30"/>
      <c r="CJ134" s="30"/>
      <c r="CK134" s="30"/>
      <c r="CL134" s="30"/>
      <c r="CM134" s="30"/>
      <c r="CN134" s="30"/>
      <c r="CO134" s="30"/>
      <c r="CP134" s="30"/>
      <c r="CQ134" s="30"/>
      <c r="CR134" s="30"/>
      <c r="CS134" s="30"/>
      <c r="CT134" s="30"/>
      <c r="CU134" s="30"/>
      <c r="CV134" s="30"/>
      <c r="CW134" s="30"/>
      <c r="CX134" s="30"/>
      <c r="CY134" s="30"/>
      <c r="CZ134" s="30"/>
      <c r="DA134" s="30"/>
      <c r="DB134" s="30"/>
      <c r="DC134" s="30"/>
      <c r="DD134" s="30"/>
      <c r="DE134" s="30"/>
      <c r="DF134" s="30"/>
      <c r="DG134" s="30"/>
      <c r="DH134" s="30"/>
      <c r="DI134" s="30"/>
      <c r="DJ134" s="30"/>
      <c r="DK134" s="30"/>
      <c r="DL134" s="30"/>
      <c r="DM134" s="30"/>
      <c r="DN134" s="30"/>
      <c r="DO134" s="30"/>
      <c r="DP134" s="30"/>
      <c r="DQ134" s="30"/>
      <c r="DR134" s="30"/>
      <c r="DS134" s="30"/>
      <c r="DT134" s="30"/>
      <c r="DU134" s="30"/>
      <c r="DV134" s="30"/>
      <c r="DW134" s="30"/>
      <c r="DX134" s="30"/>
      <c r="DY134" s="30"/>
      <c r="DZ134" s="30"/>
      <c r="EA134" s="30"/>
      <c r="EB134" s="30"/>
      <c r="EC134" s="30"/>
      <c r="ED134" s="30"/>
      <c r="EE134" s="30"/>
      <c r="EF134" s="30"/>
      <c r="EG134" s="30"/>
      <c r="EH134" s="30"/>
      <c r="EI134" s="30"/>
      <c r="EJ134" s="30"/>
      <c r="EK134" s="30"/>
      <c r="EL134" s="30"/>
      <c r="EM134" s="30"/>
      <c r="EN134" s="30"/>
      <c r="EO134" s="30"/>
      <c r="EP134" s="30"/>
      <c r="EQ134" s="30"/>
      <c r="ER134" s="30"/>
      <c r="ES134" s="30"/>
      <c r="ET134" s="30"/>
      <c r="EU134" s="30"/>
      <c r="EV134" s="30"/>
      <c r="EW134" s="30"/>
      <c r="EX134" s="30"/>
      <c r="EY134" s="30"/>
      <c r="EZ134" s="30"/>
      <c r="FA134" s="30"/>
      <c r="FB134" s="30"/>
      <c r="FC134" s="30"/>
      <c r="FD134" s="30"/>
      <c r="FE134" s="30"/>
      <c r="FF134" s="30"/>
      <c r="FG134" s="30">
        <v>159</v>
      </c>
    </row>
    <row r="135" spans="1:163">
      <c r="A135" s="30">
        <v>6</v>
      </c>
      <c r="B135" s="30">
        <v>0</v>
      </c>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c r="CE135" s="30"/>
      <c r="CF135" s="30"/>
      <c r="CG135" s="30"/>
      <c r="CH135" s="30"/>
      <c r="CI135" s="30"/>
      <c r="CJ135" s="30"/>
      <c r="CK135" s="30"/>
      <c r="CL135" s="30"/>
      <c r="CM135" s="30"/>
      <c r="CN135" s="30"/>
      <c r="CO135" s="30"/>
      <c r="CP135" s="30"/>
      <c r="CQ135" s="30"/>
      <c r="CR135" s="30"/>
      <c r="CS135" s="30"/>
      <c r="CT135" s="30"/>
      <c r="CU135" s="30"/>
      <c r="CV135" s="30"/>
      <c r="CW135" s="30"/>
      <c r="CX135" s="30"/>
      <c r="CY135" s="30"/>
      <c r="CZ135" s="30"/>
      <c r="DA135" s="30"/>
      <c r="DB135" s="30"/>
      <c r="DC135" s="30"/>
      <c r="DD135" s="30"/>
      <c r="DE135" s="30"/>
      <c r="DF135" s="30"/>
      <c r="DG135" s="30"/>
      <c r="DH135" s="30"/>
      <c r="DI135" s="30"/>
      <c r="DJ135" s="30"/>
      <c r="DK135" s="30"/>
      <c r="DL135" s="30"/>
      <c r="DM135" s="30"/>
      <c r="DN135" s="30"/>
      <c r="DO135" s="30"/>
      <c r="DP135" s="30"/>
      <c r="DQ135" s="30"/>
      <c r="DR135" s="30"/>
      <c r="DS135" s="30"/>
      <c r="DT135" s="30"/>
      <c r="DU135" s="30"/>
      <c r="DV135" s="30"/>
      <c r="DW135" s="30"/>
      <c r="DX135" s="30"/>
      <c r="DY135" s="30"/>
      <c r="DZ135" s="30"/>
      <c r="EA135" s="30"/>
      <c r="EB135" s="30"/>
      <c r="EC135" s="30"/>
      <c r="ED135" s="30"/>
      <c r="EE135" s="30"/>
      <c r="EF135" s="30"/>
      <c r="EG135" s="30"/>
      <c r="EH135" s="30"/>
      <c r="EI135" s="30"/>
      <c r="EJ135" s="30"/>
      <c r="EK135" s="30"/>
      <c r="EL135" s="30"/>
      <c r="EM135" s="30"/>
      <c r="EN135" s="30"/>
      <c r="EO135" s="30"/>
      <c r="EP135" s="30"/>
      <c r="EQ135" s="30"/>
      <c r="ER135" s="30"/>
      <c r="ES135" s="30"/>
      <c r="ET135" s="30"/>
      <c r="EU135" s="30"/>
      <c r="EV135" s="30"/>
      <c r="EW135" s="30"/>
      <c r="EX135" s="30"/>
      <c r="EY135" s="30"/>
      <c r="EZ135" s="30"/>
      <c r="FA135" s="30"/>
      <c r="FB135" s="30"/>
      <c r="FC135" s="30"/>
      <c r="FD135" s="30"/>
      <c r="FE135" s="30"/>
      <c r="FF135" s="30"/>
      <c r="FG135" s="30">
        <v>160</v>
      </c>
    </row>
    <row r="136" spans="1:163">
      <c r="A136" s="30">
        <v>7</v>
      </c>
      <c r="B136" s="30">
        <v>0</v>
      </c>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c r="CE136" s="30"/>
      <c r="CF136" s="30"/>
      <c r="CG136" s="30"/>
      <c r="CH136" s="30"/>
      <c r="CI136" s="30"/>
      <c r="CJ136" s="30"/>
      <c r="CK136" s="30"/>
      <c r="CL136" s="30"/>
      <c r="CM136" s="30"/>
      <c r="CN136" s="30"/>
      <c r="CO136" s="30"/>
      <c r="CP136" s="30"/>
      <c r="CQ136" s="30"/>
      <c r="CR136" s="30"/>
      <c r="CS136" s="30"/>
      <c r="CT136" s="30"/>
      <c r="CU136" s="30"/>
      <c r="CV136" s="30"/>
      <c r="CW136" s="30"/>
      <c r="CX136" s="30"/>
      <c r="CY136" s="30"/>
      <c r="CZ136" s="30"/>
      <c r="DA136" s="30"/>
      <c r="DB136" s="30"/>
      <c r="DC136" s="30"/>
      <c r="DD136" s="30"/>
      <c r="DE136" s="30"/>
      <c r="DF136" s="30"/>
      <c r="DG136" s="30"/>
      <c r="DH136" s="30"/>
      <c r="DI136" s="30"/>
      <c r="DJ136" s="30"/>
      <c r="DK136" s="30"/>
      <c r="DL136" s="30"/>
      <c r="DM136" s="30"/>
      <c r="DN136" s="30"/>
      <c r="DO136" s="30"/>
      <c r="DP136" s="30"/>
      <c r="DQ136" s="30"/>
      <c r="DR136" s="30"/>
      <c r="DS136" s="30"/>
      <c r="DT136" s="30"/>
      <c r="DU136" s="30"/>
      <c r="DV136" s="30"/>
      <c r="DW136" s="30"/>
      <c r="DX136" s="30"/>
      <c r="DY136" s="30"/>
      <c r="DZ136" s="30"/>
      <c r="EA136" s="30"/>
      <c r="EB136" s="30"/>
      <c r="EC136" s="30"/>
      <c r="ED136" s="30"/>
      <c r="EE136" s="30"/>
      <c r="EF136" s="30"/>
      <c r="EG136" s="30"/>
      <c r="EH136" s="30"/>
      <c r="EI136" s="30"/>
      <c r="EJ136" s="30"/>
      <c r="EK136" s="30"/>
      <c r="EL136" s="30"/>
      <c r="EM136" s="30"/>
      <c r="EN136" s="30"/>
      <c r="EO136" s="30"/>
      <c r="EP136" s="30"/>
      <c r="EQ136" s="30"/>
      <c r="ER136" s="30"/>
      <c r="ES136" s="30"/>
      <c r="ET136" s="30"/>
      <c r="EU136" s="30"/>
      <c r="EV136" s="30"/>
      <c r="EW136" s="30"/>
      <c r="EX136" s="30"/>
      <c r="EY136" s="30"/>
      <c r="EZ136" s="30"/>
      <c r="FA136" s="30"/>
      <c r="FB136" s="30"/>
      <c r="FC136" s="30"/>
      <c r="FD136" s="30"/>
      <c r="FE136" s="30"/>
      <c r="FF136" s="30"/>
      <c r="FG136" s="30">
        <v>161</v>
      </c>
    </row>
    <row r="137" spans="1:163">
      <c r="A137" s="30">
        <v>8</v>
      </c>
      <c r="B137" s="30">
        <v>0</v>
      </c>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c r="CE137" s="30"/>
      <c r="CF137" s="30"/>
      <c r="CG137" s="30"/>
      <c r="CH137" s="30"/>
      <c r="CI137" s="30"/>
      <c r="CJ137" s="30"/>
      <c r="CK137" s="30"/>
      <c r="CL137" s="30"/>
      <c r="CM137" s="30"/>
      <c r="CN137" s="30"/>
      <c r="CO137" s="30"/>
      <c r="CP137" s="30"/>
      <c r="CQ137" s="30"/>
      <c r="CR137" s="30"/>
      <c r="CS137" s="30"/>
      <c r="CT137" s="30"/>
      <c r="CU137" s="30"/>
      <c r="CV137" s="30"/>
      <c r="CW137" s="30"/>
      <c r="CX137" s="30"/>
      <c r="CY137" s="30"/>
      <c r="CZ137" s="30"/>
      <c r="DA137" s="30"/>
      <c r="DB137" s="30"/>
      <c r="DC137" s="30"/>
      <c r="DD137" s="30"/>
      <c r="DE137" s="30"/>
      <c r="DF137" s="30"/>
      <c r="DG137" s="30"/>
      <c r="DH137" s="30"/>
      <c r="DI137" s="30"/>
      <c r="DJ137" s="30"/>
      <c r="DK137" s="30"/>
      <c r="DL137" s="30"/>
      <c r="DM137" s="30"/>
      <c r="DN137" s="30"/>
      <c r="DO137" s="30"/>
      <c r="DP137" s="30"/>
      <c r="DQ137" s="30"/>
      <c r="DR137" s="30"/>
      <c r="DS137" s="30"/>
      <c r="DT137" s="30"/>
      <c r="DU137" s="30"/>
      <c r="DV137" s="30"/>
      <c r="DW137" s="30"/>
      <c r="DX137" s="30"/>
      <c r="DY137" s="30"/>
      <c r="DZ137" s="30"/>
      <c r="EA137" s="30"/>
      <c r="EB137" s="30"/>
      <c r="EC137" s="30"/>
      <c r="ED137" s="30"/>
      <c r="EE137" s="30"/>
      <c r="EF137" s="30"/>
      <c r="EG137" s="30"/>
      <c r="EH137" s="30"/>
      <c r="EI137" s="30"/>
      <c r="EJ137" s="30"/>
      <c r="EK137" s="30"/>
      <c r="EL137" s="30"/>
      <c r="EM137" s="30"/>
      <c r="EN137" s="30"/>
      <c r="EO137" s="30"/>
      <c r="EP137" s="30"/>
      <c r="EQ137" s="30"/>
      <c r="ER137" s="30"/>
      <c r="ES137" s="30"/>
      <c r="ET137" s="30"/>
      <c r="EU137" s="30"/>
      <c r="EV137" s="30"/>
      <c r="EW137" s="30"/>
      <c r="EX137" s="30"/>
      <c r="EY137" s="30"/>
      <c r="EZ137" s="30"/>
      <c r="FA137" s="30"/>
      <c r="FB137" s="30"/>
      <c r="FC137" s="30"/>
      <c r="FD137" s="30"/>
      <c r="FE137" s="30"/>
      <c r="FF137" s="30"/>
      <c r="FG137" s="30">
        <v>162</v>
      </c>
    </row>
    <row r="138" spans="1:163">
      <c r="A138" s="30">
        <v>9</v>
      </c>
      <c r="B138" s="30">
        <v>0</v>
      </c>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c r="CE138" s="30"/>
      <c r="CF138" s="30"/>
      <c r="CG138" s="30"/>
      <c r="CH138" s="30"/>
      <c r="CI138" s="30"/>
      <c r="CJ138" s="30"/>
      <c r="CK138" s="30"/>
      <c r="CL138" s="30"/>
      <c r="CM138" s="30"/>
      <c r="CN138" s="30"/>
      <c r="CO138" s="30"/>
      <c r="CP138" s="30"/>
      <c r="CQ138" s="30"/>
      <c r="CR138" s="30"/>
      <c r="CS138" s="30"/>
      <c r="CT138" s="30"/>
      <c r="CU138" s="30"/>
      <c r="CV138" s="30"/>
      <c r="CW138" s="30"/>
      <c r="CX138" s="30"/>
      <c r="CY138" s="30"/>
      <c r="CZ138" s="30"/>
      <c r="DA138" s="30"/>
      <c r="DB138" s="30"/>
      <c r="DC138" s="30"/>
      <c r="DD138" s="30"/>
      <c r="DE138" s="30"/>
      <c r="DF138" s="30"/>
      <c r="DG138" s="30"/>
      <c r="DH138" s="30"/>
      <c r="DI138" s="30"/>
      <c r="DJ138" s="30"/>
      <c r="DK138" s="30"/>
      <c r="DL138" s="30"/>
      <c r="DM138" s="30"/>
      <c r="DN138" s="30"/>
      <c r="DO138" s="30"/>
      <c r="DP138" s="30"/>
      <c r="DQ138" s="30"/>
      <c r="DR138" s="30"/>
      <c r="DS138" s="30"/>
      <c r="DT138" s="30"/>
      <c r="DU138" s="30"/>
      <c r="DV138" s="30"/>
      <c r="DW138" s="30"/>
      <c r="DX138" s="30"/>
      <c r="DY138" s="30"/>
      <c r="DZ138" s="30"/>
      <c r="EA138" s="30"/>
      <c r="EB138" s="30"/>
      <c r="EC138" s="30"/>
      <c r="ED138" s="30"/>
      <c r="EE138" s="30"/>
      <c r="EF138" s="30"/>
      <c r="EG138" s="30"/>
      <c r="EH138" s="30"/>
      <c r="EI138" s="30"/>
      <c r="EJ138" s="30"/>
      <c r="EK138" s="30"/>
      <c r="EL138" s="30"/>
      <c r="EM138" s="30"/>
      <c r="EN138" s="30"/>
      <c r="EO138" s="30"/>
      <c r="EP138" s="30"/>
      <c r="EQ138" s="30"/>
      <c r="ER138" s="30"/>
      <c r="ES138" s="30"/>
      <c r="ET138" s="30"/>
      <c r="EU138" s="30"/>
      <c r="EV138" s="30"/>
      <c r="EW138" s="30"/>
      <c r="EX138" s="30"/>
      <c r="EY138" s="30"/>
      <c r="EZ138" s="30"/>
      <c r="FA138" s="30"/>
      <c r="FB138" s="30"/>
      <c r="FC138" s="30"/>
      <c r="FD138" s="30"/>
      <c r="FE138" s="30"/>
      <c r="FF138" s="30"/>
      <c r="FG138" s="30">
        <v>163</v>
      </c>
    </row>
    <row r="139" spans="1:163">
      <c r="A139" s="30">
        <v>10</v>
      </c>
      <c r="B139" s="30" t="s">
        <v>14</v>
      </c>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30"/>
      <c r="CH139" s="30"/>
      <c r="CI139" s="30"/>
      <c r="CJ139" s="30"/>
      <c r="CK139" s="30"/>
      <c r="CL139" s="30"/>
      <c r="CM139" s="30"/>
      <c r="CN139" s="30"/>
      <c r="CO139" s="30"/>
      <c r="CP139" s="30"/>
      <c r="CQ139" s="30"/>
      <c r="CR139" s="30"/>
      <c r="CS139" s="30"/>
      <c r="CT139" s="30"/>
      <c r="CU139" s="30"/>
      <c r="CV139" s="30"/>
      <c r="CW139" s="30"/>
      <c r="CX139" s="30"/>
      <c r="CY139" s="30"/>
      <c r="CZ139" s="30"/>
      <c r="DA139" s="30"/>
      <c r="DB139" s="30"/>
      <c r="DC139" s="30"/>
      <c r="DD139" s="30"/>
      <c r="DE139" s="30"/>
      <c r="DF139" s="30"/>
      <c r="DG139" s="30"/>
      <c r="DH139" s="30"/>
      <c r="DI139" s="30"/>
      <c r="DJ139" s="30"/>
      <c r="DK139" s="30"/>
      <c r="DL139" s="30"/>
      <c r="DM139" s="30"/>
      <c r="DN139" s="30"/>
      <c r="DO139" s="30"/>
      <c r="DP139" s="30"/>
      <c r="DQ139" s="30"/>
      <c r="DR139" s="30"/>
      <c r="DS139" s="30"/>
      <c r="DT139" s="30"/>
      <c r="DU139" s="30"/>
      <c r="DV139" s="30"/>
      <c r="DW139" s="30"/>
      <c r="DX139" s="30"/>
      <c r="DY139" s="30"/>
      <c r="DZ139" s="30"/>
      <c r="EA139" s="30"/>
      <c r="EB139" s="30"/>
      <c r="EC139" s="30"/>
      <c r="ED139" s="30"/>
      <c r="EE139" s="30"/>
      <c r="EF139" s="30"/>
      <c r="EG139" s="30"/>
      <c r="EH139" s="30"/>
      <c r="EI139" s="30"/>
      <c r="EJ139" s="30"/>
      <c r="EK139" s="30"/>
      <c r="EL139" s="30"/>
      <c r="EM139" s="30"/>
      <c r="EN139" s="30"/>
      <c r="EO139" s="30"/>
      <c r="EP139" s="30"/>
      <c r="EQ139" s="30"/>
      <c r="ER139" s="30"/>
      <c r="ES139" s="30"/>
      <c r="ET139" s="30"/>
      <c r="EU139" s="30"/>
      <c r="EV139" s="30"/>
      <c r="EW139" s="30"/>
      <c r="EX139" s="30"/>
      <c r="EY139" s="30"/>
      <c r="EZ139" s="30"/>
      <c r="FA139" s="30"/>
      <c r="FB139" s="30"/>
      <c r="FC139" s="30"/>
      <c r="FD139" s="30"/>
      <c r="FE139" s="30"/>
      <c r="FF139" s="30"/>
      <c r="FG139" s="30">
        <v>164</v>
      </c>
    </row>
    <row r="140" spans="1:163">
      <c r="A140" s="30">
        <v>11</v>
      </c>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c r="CE140" s="30"/>
      <c r="CF140" s="30"/>
      <c r="CG140" s="30"/>
      <c r="CH140" s="30"/>
      <c r="CI140" s="30"/>
      <c r="CJ140" s="30"/>
      <c r="CK140" s="30"/>
      <c r="CL140" s="30"/>
      <c r="CM140" s="30"/>
      <c r="CN140" s="30"/>
      <c r="CO140" s="30"/>
      <c r="CP140" s="30"/>
      <c r="CQ140" s="30"/>
      <c r="CR140" s="30"/>
      <c r="CS140" s="30"/>
      <c r="CT140" s="30"/>
      <c r="CU140" s="30"/>
      <c r="CV140" s="30"/>
      <c r="CW140" s="30"/>
      <c r="CX140" s="30"/>
      <c r="CY140" s="30"/>
      <c r="CZ140" s="30"/>
      <c r="DA140" s="30"/>
      <c r="DB140" s="30"/>
      <c r="DC140" s="30"/>
      <c r="DD140" s="30"/>
      <c r="DE140" s="30"/>
      <c r="DF140" s="30"/>
      <c r="DG140" s="30"/>
      <c r="DH140" s="30"/>
      <c r="DI140" s="30"/>
      <c r="DJ140" s="30"/>
      <c r="DK140" s="30"/>
      <c r="DL140" s="30"/>
      <c r="DM140" s="30"/>
      <c r="DN140" s="30"/>
      <c r="DO140" s="30"/>
      <c r="DP140" s="30"/>
      <c r="DQ140" s="30"/>
      <c r="DR140" s="30"/>
      <c r="DS140" s="30"/>
      <c r="DT140" s="30"/>
      <c r="DU140" s="30"/>
      <c r="DV140" s="30"/>
      <c r="DW140" s="30"/>
      <c r="DX140" s="30"/>
      <c r="DY140" s="30"/>
      <c r="DZ140" s="30"/>
      <c r="EA140" s="30"/>
      <c r="EB140" s="30"/>
      <c r="EC140" s="30"/>
      <c r="ED140" s="30"/>
      <c r="EE140" s="30"/>
      <c r="EF140" s="30"/>
      <c r="EG140" s="30"/>
      <c r="EH140" s="30"/>
      <c r="EI140" s="30"/>
      <c r="EJ140" s="30"/>
      <c r="EK140" s="30"/>
      <c r="EL140" s="30"/>
      <c r="EM140" s="30"/>
      <c r="EN140" s="30"/>
      <c r="EO140" s="30"/>
      <c r="EP140" s="30"/>
      <c r="EQ140" s="30"/>
      <c r="ER140" s="30"/>
      <c r="ES140" s="30"/>
      <c r="ET140" s="30"/>
      <c r="EU140" s="30"/>
      <c r="EV140" s="30"/>
      <c r="EW140" s="30"/>
      <c r="EX140" s="30"/>
      <c r="EY140" s="30"/>
      <c r="EZ140" s="30"/>
      <c r="FA140" s="30"/>
      <c r="FB140" s="30"/>
      <c r="FC140" s="30"/>
      <c r="FD140" s="30"/>
      <c r="FE140" s="30"/>
      <c r="FF140" s="30"/>
      <c r="FG140" s="30">
        <v>165</v>
      </c>
    </row>
    <row r="141" spans="1:163">
      <c r="A141" s="30">
        <v>12</v>
      </c>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c r="CE141" s="30"/>
      <c r="CF141" s="30"/>
      <c r="CG141" s="30"/>
      <c r="CH141" s="30"/>
      <c r="CI141" s="30"/>
      <c r="CJ141" s="30"/>
      <c r="CK141" s="30"/>
      <c r="CL141" s="30"/>
      <c r="CM141" s="30"/>
      <c r="CN141" s="30"/>
      <c r="CO141" s="30"/>
      <c r="CP141" s="30"/>
      <c r="CQ141" s="30"/>
      <c r="CR141" s="30"/>
      <c r="CS141" s="30"/>
      <c r="CT141" s="30"/>
      <c r="CU141" s="30"/>
      <c r="CV141" s="30"/>
      <c r="CW141" s="30"/>
      <c r="CX141" s="30"/>
      <c r="CY141" s="30"/>
      <c r="CZ141" s="30"/>
      <c r="DA141" s="30"/>
      <c r="DB141" s="30"/>
      <c r="DC141" s="30"/>
      <c r="DD141" s="30"/>
      <c r="DE141" s="30"/>
      <c r="DF141" s="30"/>
      <c r="DG141" s="30"/>
      <c r="DH141" s="30"/>
      <c r="DI141" s="30"/>
      <c r="DJ141" s="30"/>
      <c r="DK141" s="30"/>
      <c r="DL141" s="30"/>
      <c r="DM141" s="30"/>
      <c r="DN141" s="30"/>
      <c r="DO141" s="30"/>
      <c r="DP141" s="30"/>
      <c r="DQ141" s="30"/>
      <c r="DR141" s="30"/>
      <c r="DS141" s="30"/>
      <c r="DT141" s="30"/>
      <c r="DU141" s="30"/>
      <c r="DV141" s="30"/>
      <c r="DW141" s="30"/>
      <c r="DX141" s="30"/>
      <c r="DY141" s="30"/>
      <c r="DZ141" s="30"/>
      <c r="EA141" s="30"/>
      <c r="EB141" s="30"/>
      <c r="EC141" s="30"/>
      <c r="ED141" s="30"/>
      <c r="EE141" s="30"/>
      <c r="EF141" s="30"/>
      <c r="EG141" s="30"/>
      <c r="EH141" s="30"/>
      <c r="EI141" s="30"/>
      <c r="EJ141" s="30"/>
      <c r="EK141" s="30"/>
      <c r="EL141" s="30"/>
      <c r="EM141" s="30"/>
      <c r="EN141" s="30"/>
      <c r="EO141" s="30"/>
      <c r="EP141" s="30"/>
      <c r="EQ141" s="30"/>
      <c r="ER141" s="30"/>
      <c r="ES141" s="30"/>
      <c r="ET141" s="30"/>
      <c r="EU141" s="30"/>
      <c r="EV141" s="30"/>
      <c r="EW141" s="30"/>
      <c r="EX141" s="30"/>
      <c r="EY141" s="30"/>
      <c r="EZ141" s="30"/>
      <c r="FA141" s="30"/>
      <c r="FB141" s="30"/>
      <c r="FC141" s="30"/>
      <c r="FD141" s="30"/>
      <c r="FE141" s="30"/>
      <c r="FF141" s="30"/>
      <c r="FG141" s="30">
        <v>166</v>
      </c>
    </row>
    <row r="142" spans="1:163">
      <c r="A142" s="30">
        <v>13</v>
      </c>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c r="CE142" s="30"/>
      <c r="CF142" s="30"/>
      <c r="CG142" s="30"/>
      <c r="CH142" s="30"/>
      <c r="CI142" s="30"/>
      <c r="CJ142" s="30"/>
      <c r="CK142" s="30"/>
      <c r="CL142" s="30"/>
      <c r="CM142" s="30"/>
      <c r="CN142" s="30"/>
      <c r="CO142" s="30"/>
      <c r="CP142" s="30"/>
      <c r="CQ142" s="30"/>
      <c r="CR142" s="30"/>
      <c r="CS142" s="30"/>
      <c r="CT142" s="30"/>
      <c r="CU142" s="30"/>
      <c r="CV142" s="30"/>
      <c r="CW142" s="30"/>
      <c r="CX142" s="30"/>
      <c r="CY142" s="30"/>
      <c r="CZ142" s="30"/>
      <c r="DA142" s="30"/>
      <c r="DB142" s="30"/>
      <c r="DC142" s="30"/>
      <c r="DD142" s="30"/>
      <c r="DE142" s="30"/>
      <c r="DF142" s="30"/>
      <c r="DG142" s="30"/>
      <c r="DH142" s="30"/>
      <c r="DI142" s="30"/>
      <c r="DJ142" s="30"/>
      <c r="DK142" s="30"/>
      <c r="DL142" s="30"/>
      <c r="DM142" s="30"/>
      <c r="DN142" s="30"/>
      <c r="DO142" s="30"/>
      <c r="DP142" s="30"/>
      <c r="DQ142" s="30"/>
      <c r="DR142" s="30"/>
      <c r="DS142" s="30"/>
      <c r="DT142" s="30"/>
      <c r="DU142" s="30"/>
      <c r="DV142" s="30"/>
      <c r="DW142" s="30"/>
      <c r="DX142" s="30"/>
      <c r="DY142" s="30"/>
      <c r="DZ142" s="30"/>
      <c r="EA142" s="30"/>
      <c r="EB142" s="30"/>
      <c r="EC142" s="30"/>
      <c r="ED142" s="30"/>
      <c r="EE142" s="30"/>
      <c r="EF142" s="30"/>
      <c r="EG142" s="30"/>
      <c r="EH142" s="30"/>
      <c r="EI142" s="30"/>
      <c r="EJ142" s="30"/>
      <c r="EK142" s="30"/>
      <c r="EL142" s="30"/>
      <c r="EM142" s="30"/>
      <c r="EN142" s="30"/>
      <c r="EO142" s="30"/>
      <c r="EP142" s="30"/>
      <c r="EQ142" s="30"/>
      <c r="ER142" s="30"/>
      <c r="ES142" s="30"/>
      <c r="ET142" s="30"/>
      <c r="EU142" s="30"/>
      <c r="EV142" s="30"/>
      <c r="EW142" s="30"/>
      <c r="EX142" s="30"/>
      <c r="EY142" s="30"/>
      <c r="EZ142" s="30"/>
      <c r="FA142" s="30"/>
      <c r="FB142" s="30"/>
      <c r="FC142" s="30"/>
      <c r="FD142" s="30"/>
      <c r="FE142" s="30"/>
      <c r="FF142" s="30"/>
      <c r="FG142" s="30">
        <v>167</v>
      </c>
    </row>
    <row r="143" spans="1:163">
      <c r="A143" s="30">
        <v>14</v>
      </c>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c r="CE143" s="30"/>
      <c r="CF143" s="30"/>
      <c r="CG143" s="30"/>
      <c r="CH143" s="30"/>
      <c r="CI143" s="30"/>
      <c r="CJ143" s="30"/>
      <c r="CK143" s="30"/>
      <c r="CL143" s="30"/>
      <c r="CM143" s="30"/>
      <c r="CN143" s="30"/>
      <c r="CO143" s="30"/>
      <c r="CP143" s="30"/>
      <c r="CQ143" s="30"/>
      <c r="CR143" s="30"/>
      <c r="CS143" s="30"/>
      <c r="CT143" s="30"/>
      <c r="CU143" s="30"/>
      <c r="CV143" s="30"/>
      <c r="CW143" s="30"/>
      <c r="CX143" s="30"/>
      <c r="CY143" s="30"/>
      <c r="CZ143" s="30"/>
      <c r="DA143" s="30"/>
      <c r="DB143" s="30"/>
      <c r="DC143" s="30"/>
      <c r="DD143" s="30"/>
      <c r="DE143" s="30"/>
      <c r="DF143" s="30"/>
      <c r="DG143" s="30"/>
      <c r="DH143" s="30"/>
      <c r="DI143" s="30"/>
      <c r="DJ143" s="30"/>
      <c r="DK143" s="30"/>
      <c r="DL143" s="30"/>
      <c r="DM143" s="30"/>
      <c r="DN143" s="30"/>
      <c r="DO143" s="30"/>
      <c r="DP143" s="30"/>
      <c r="DQ143" s="30"/>
      <c r="DR143" s="30"/>
      <c r="DS143" s="30"/>
      <c r="DT143" s="30"/>
      <c r="DU143" s="30"/>
      <c r="DV143" s="30"/>
      <c r="DW143" s="30"/>
      <c r="DX143" s="30"/>
      <c r="DY143" s="30"/>
      <c r="DZ143" s="30"/>
      <c r="EA143" s="30"/>
      <c r="EB143" s="30"/>
      <c r="EC143" s="30"/>
      <c r="ED143" s="30"/>
      <c r="EE143" s="30"/>
      <c r="EF143" s="30"/>
      <c r="EG143" s="30"/>
      <c r="EH143" s="30"/>
      <c r="EI143" s="30"/>
      <c r="EJ143" s="30"/>
      <c r="EK143" s="30"/>
      <c r="EL143" s="30"/>
      <c r="EM143" s="30"/>
      <c r="EN143" s="30"/>
      <c r="EO143" s="30"/>
      <c r="EP143" s="30"/>
      <c r="EQ143" s="30"/>
      <c r="ER143" s="30"/>
      <c r="ES143" s="30"/>
      <c r="ET143" s="30"/>
      <c r="EU143" s="30"/>
      <c r="EV143" s="30"/>
      <c r="EW143" s="30"/>
      <c r="EX143" s="30"/>
      <c r="EY143" s="30"/>
      <c r="EZ143" s="30"/>
      <c r="FA143" s="30"/>
      <c r="FB143" s="30"/>
      <c r="FC143" s="30"/>
      <c r="FD143" s="30"/>
      <c r="FE143" s="30"/>
      <c r="FF143" s="30"/>
      <c r="FG143" s="30">
        <v>168</v>
      </c>
    </row>
    <row r="144" spans="1:163">
      <c r="A144" s="30">
        <v>15</v>
      </c>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c r="CE144" s="30"/>
      <c r="CF144" s="30"/>
      <c r="CG144" s="30"/>
      <c r="CH144" s="30"/>
      <c r="CI144" s="30"/>
      <c r="CJ144" s="30"/>
      <c r="CK144" s="30"/>
      <c r="CL144" s="30"/>
      <c r="CM144" s="30"/>
      <c r="CN144" s="30"/>
      <c r="CO144" s="30"/>
      <c r="CP144" s="30"/>
      <c r="CQ144" s="30"/>
      <c r="CR144" s="30"/>
      <c r="CS144" s="30"/>
      <c r="CT144" s="30"/>
      <c r="CU144" s="30"/>
      <c r="CV144" s="30"/>
      <c r="CW144" s="30"/>
      <c r="CX144" s="30"/>
      <c r="CY144" s="30"/>
      <c r="CZ144" s="30"/>
      <c r="DA144" s="30"/>
      <c r="DB144" s="30"/>
      <c r="DC144" s="30"/>
      <c r="DD144" s="30"/>
      <c r="DE144" s="30"/>
      <c r="DF144" s="30"/>
      <c r="DG144" s="30"/>
      <c r="DH144" s="30"/>
      <c r="DI144" s="30"/>
      <c r="DJ144" s="30"/>
      <c r="DK144" s="30"/>
      <c r="DL144" s="30"/>
      <c r="DM144" s="30"/>
      <c r="DN144" s="30"/>
      <c r="DO144" s="30"/>
      <c r="DP144" s="30"/>
      <c r="DQ144" s="30"/>
      <c r="DR144" s="30"/>
      <c r="DS144" s="30"/>
      <c r="DT144" s="30"/>
      <c r="DU144" s="30"/>
      <c r="DV144" s="30"/>
      <c r="DW144" s="30"/>
      <c r="DX144" s="30"/>
      <c r="DY144" s="30"/>
      <c r="DZ144" s="30"/>
      <c r="EA144" s="30"/>
      <c r="EB144" s="30"/>
      <c r="EC144" s="30"/>
      <c r="ED144" s="30"/>
      <c r="EE144" s="30"/>
      <c r="EF144" s="30"/>
      <c r="EG144" s="30"/>
      <c r="EH144" s="30"/>
      <c r="EI144" s="30"/>
      <c r="EJ144" s="30"/>
      <c r="EK144" s="30"/>
      <c r="EL144" s="30"/>
      <c r="EM144" s="30"/>
      <c r="EN144" s="30"/>
      <c r="EO144" s="30"/>
      <c r="EP144" s="30"/>
      <c r="EQ144" s="30"/>
      <c r="ER144" s="30"/>
      <c r="ES144" s="30"/>
      <c r="ET144" s="30"/>
      <c r="EU144" s="30"/>
      <c r="EV144" s="30"/>
      <c r="EW144" s="30"/>
      <c r="EX144" s="30"/>
      <c r="EY144" s="30"/>
      <c r="EZ144" s="30"/>
      <c r="FA144" s="30"/>
      <c r="FB144" s="30"/>
      <c r="FC144" s="30"/>
      <c r="FD144" s="30"/>
      <c r="FE144" s="30"/>
      <c r="FF144" s="30"/>
      <c r="FG144" s="30">
        <v>169</v>
      </c>
    </row>
    <row r="145" spans="1:163">
      <c r="A145" s="30">
        <v>16</v>
      </c>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c r="CE145" s="30"/>
      <c r="CF145" s="30"/>
      <c r="CG145" s="30"/>
      <c r="CH145" s="30"/>
      <c r="CI145" s="30"/>
      <c r="CJ145" s="30"/>
      <c r="CK145" s="30"/>
      <c r="CL145" s="30"/>
      <c r="CM145" s="30"/>
      <c r="CN145" s="30"/>
      <c r="CO145" s="30"/>
      <c r="CP145" s="30"/>
      <c r="CQ145" s="30"/>
      <c r="CR145" s="30"/>
      <c r="CS145" s="30"/>
      <c r="CT145" s="30"/>
      <c r="CU145" s="30"/>
      <c r="CV145" s="30"/>
      <c r="CW145" s="30"/>
      <c r="CX145" s="30"/>
      <c r="CY145" s="30"/>
      <c r="CZ145" s="30"/>
      <c r="DA145" s="30"/>
      <c r="DB145" s="30"/>
      <c r="DC145" s="30"/>
      <c r="DD145" s="30"/>
      <c r="DE145" s="30"/>
      <c r="DF145" s="30"/>
      <c r="DG145" s="30"/>
      <c r="DH145" s="30"/>
      <c r="DI145" s="30"/>
      <c r="DJ145" s="30"/>
      <c r="DK145" s="30"/>
      <c r="DL145" s="30"/>
      <c r="DM145" s="30"/>
      <c r="DN145" s="30"/>
      <c r="DO145" s="30"/>
      <c r="DP145" s="30"/>
      <c r="DQ145" s="30"/>
      <c r="DR145" s="30"/>
      <c r="DS145" s="30"/>
      <c r="DT145" s="30"/>
      <c r="DU145" s="30"/>
      <c r="DV145" s="30"/>
      <c r="DW145" s="30"/>
      <c r="DX145" s="30"/>
      <c r="DY145" s="30"/>
      <c r="DZ145" s="30"/>
      <c r="EA145" s="30"/>
      <c r="EB145" s="30"/>
      <c r="EC145" s="30"/>
      <c r="ED145" s="30"/>
      <c r="EE145" s="30"/>
      <c r="EF145" s="30"/>
      <c r="EG145" s="30"/>
      <c r="EH145" s="30"/>
      <c r="EI145" s="30"/>
      <c r="EJ145" s="30"/>
      <c r="EK145" s="30"/>
      <c r="EL145" s="30"/>
      <c r="EM145" s="30"/>
      <c r="EN145" s="30"/>
      <c r="EO145" s="30"/>
      <c r="EP145" s="30"/>
      <c r="EQ145" s="30"/>
      <c r="ER145" s="30"/>
      <c r="ES145" s="30"/>
      <c r="ET145" s="30"/>
      <c r="EU145" s="30"/>
      <c r="EV145" s="30"/>
      <c r="EW145" s="30"/>
      <c r="EX145" s="30"/>
      <c r="EY145" s="30"/>
      <c r="EZ145" s="30"/>
      <c r="FA145" s="30"/>
      <c r="FB145" s="30"/>
      <c r="FC145" s="30"/>
      <c r="FD145" s="30"/>
      <c r="FE145" s="30"/>
      <c r="FF145" s="30"/>
      <c r="FG145" s="30">
        <v>170</v>
      </c>
    </row>
    <row r="146" spans="1:163">
      <c r="A146" s="30">
        <v>17</v>
      </c>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c r="CE146" s="30"/>
      <c r="CF146" s="30"/>
      <c r="CG146" s="30"/>
      <c r="CH146" s="30"/>
      <c r="CI146" s="30"/>
      <c r="CJ146" s="30"/>
      <c r="CK146" s="30"/>
      <c r="CL146" s="30"/>
      <c r="CM146" s="30"/>
      <c r="CN146" s="30"/>
      <c r="CO146" s="30"/>
      <c r="CP146" s="30"/>
      <c r="CQ146" s="30"/>
      <c r="CR146" s="30"/>
      <c r="CS146" s="30"/>
      <c r="CT146" s="30"/>
      <c r="CU146" s="30"/>
      <c r="CV146" s="30"/>
      <c r="CW146" s="30"/>
      <c r="CX146" s="30"/>
      <c r="CY146" s="30"/>
      <c r="CZ146" s="30"/>
      <c r="DA146" s="30"/>
      <c r="DB146" s="30"/>
      <c r="DC146" s="30"/>
      <c r="DD146" s="30"/>
      <c r="DE146" s="30"/>
      <c r="DF146" s="30"/>
      <c r="DG146" s="30"/>
      <c r="DH146" s="30"/>
      <c r="DI146" s="30"/>
      <c r="DJ146" s="30"/>
      <c r="DK146" s="30"/>
      <c r="DL146" s="30"/>
      <c r="DM146" s="30"/>
      <c r="DN146" s="30"/>
      <c r="DO146" s="30"/>
      <c r="DP146" s="30"/>
      <c r="DQ146" s="30"/>
      <c r="DR146" s="30"/>
      <c r="DS146" s="30"/>
      <c r="DT146" s="30"/>
      <c r="DU146" s="30"/>
      <c r="DV146" s="30"/>
      <c r="DW146" s="30"/>
      <c r="DX146" s="30"/>
      <c r="DY146" s="30"/>
      <c r="DZ146" s="30"/>
      <c r="EA146" s="30"/>
      <c r="EB146" s="30"/>
      <c r="EC146" s="30"/>
      <c r="ED146" s="30"/>
      <c r="EE146" s="30"/>
      <c r="EF146" s="30"/>
      <c r="EG146" s="30"/>
      <c r="EH146" s="30"/>
      <c r="EI146" s="30"/>
      <c r="EJ146" s="30"/>
      <c r="EK146" s="30"/>
      <c r="EL146" s="30"/>
      <c r="EM146" s="30"/>
      <c r="EN146" s="30"/>
      <c r="EO146" s="30"/>
      <c r="EP146" s="30"/>
      <c r="EQ146" s="30"/>
      <c r="ER146" s="30"/>
      <c r="ES146" s="30"/>
      <c r="ET146" s="30"/>
      <c r="EU146" s="30"/>
      <c r="EV146" s="30"/>
      <c r="EW146" s="30"/>
      <c r="EX146" s="30"/>
      <c r="EY146" s="30"/>
      <c r="EZ146" s="30"/>
      <c r="FA146" s="30"/>
      <c r="FB146" s="30"/>
      <c r="FC146" s="30"/>
      <c r="FD146" s="30"/>
      <c r="FE146" s="30"/>
      <c r="FF146" s="30"/>
      <c r="FG146" s="30">
        <v>171</v>
      </c>
    </row>
    <row r="147" spans="1:163">
      <c r="A147" s="30">
        <v>18</v>
      </c>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c r="CE147" s="30"/>
      <c r="CF147" s="30"/>
      <c r="CG147" s="30"/>
      <c r="CH147" s="30"/>
      <c r="CI147" s="30"/>
      <c r="CJ147" s="30"/>
      <c r="CK147" s="30"/>
      <c r="CL147" s="30"/>
      <c r="CM147" s="30"/>
      <c r="CN147" s="30"/>
      <c r="CO147" s="30"/>
      <c r="CP147" s="30"/>
      <c r="CQ147" s="30"/>
      <c r="CR147" s="30"/>
      <c r="CS147" s="30"/>
      <c r="CT147" s="30"/>
      <c r="CU147" s="30"/>
      <c r="CV147" s="30"/>
      <c r="CW147" s="30"/>
      <c r="CX147" s="30"/>
      <c r="CY147" s="30"/>
      <c r="CZ147" s="30"/>
      <c r="DA147" s="30"/>
      <c r="DB147" s="30"/>
      <c r="DC147" s="30"/>
      <c r="DD147" s="30"/>
      <c r="DE147" s="30"/>
      <c r="DF147" s="30"/>
      <c r="DG147" s="30"/>
      <c r="DH147" s="30"/>
      <c r="DI147" s="30"/>
      <c r="DJ147" s="30"/>
      <c r="DK147" s="30"/>
      <c r="DL147" s="30"/>
      <c r="DM147" s="30"/>
      <c r="DN147" s="30"/>
      <c r="DO147" s="30"/>
      <c r="DP147" s="30"/>
      <c r="DQ147" s="30"/>
      <c r="DR147" s="30"/>
      <c r="DS147" s="30"/>
      <c r="DT147" s="30"/>
      <c r="DU147" s="30"/>
      <c r="DV147" s="30"/>
      <c r="DW147" s="30"/>
      <c r="DX147" s="30"/>
      <c r="DY147" s="30"/>
      <c r="DZ147" s="30"/>
      <c r="EA147" s="30"/>
      <c r="EB147" s="30"/>
      <c r="EC147" s="30"/>
      <c r="ED147" s="30"/>
      <c r="EE147" s="30"/>
      <c r="EF147" s="30"/>
      <c r="EG147" s="30"/>
      <c r="EH147" s="30"/>
      <c r="EI147" s="30"/>
      <c r="EJ147" s="30"/>
      <c r="EK147" s="30"/>
      <c r="EL147" s="30"/>
      <c r="EM147" s="30"/>
      <c r="EN147" s="30"/>
      <c r="EO147" s="30"/>
      <c r="EP147" s="30"/>
      <c r="EQ147" s="30"/>
      <c r="ER147" s="30"/>
      <c r="ES147" s="30"/>
      <c r="ET147" s="30"/>
      <c r="EU147" s="30"/>
      <c r="EV147" s="30"/>
      <c r="EW147" s="30"/>
      <c r="EX147" s="30"/>
      <c r="EY147" s="30"/>
      <c r="EZ147" s="30"/>
      <c r="FA147" s="30"/>
      <c r="FB147" s="30"/>
      <c r="FC147" s="30"/>
      <c r="FD147" s="30"/>
      <c r="FE147" s="30"/>
      <c r="FF147" s="30"/>
      <c r="FG147" s="30">
        <v>172</v>
      </c>
    </row>
    <row r="148" spans="1:163">
      <c r="A148" s="30">
        <v>19</v>
      </c>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c r="CE148" s="30"/>
      <c r="CF148" s="30"/>
      <c r="CG148" s="30"/>
      <c r="CH148" s="30"/>
      <c r="CI148" s="30"/>
      <c r="CJ148" s="30"/>
      <c r="CK148" s="30"/>
      <c r="CL148" s="30"/>
      <c r="CM148" s="30"/>
      <c r="CN148" s="30"/>
      <c r="CO148" s="30"/>
      <c r="CP148" s="30"/>
      <c r="CQ148" s="30"/>
      <c r="CR148" s="30"/>
      <c r="CS148" s="30"/>
      <c r="CT148" s="30"/>
      <c r="CU148" s="30"/>
      <c r="CV148" s="30"/>
      <c r="CW148" s="30"/>
      <c r="CX148" s="30"/>
      <c r="CY148" s="30"/>
      <c r="CZ148" s="30"/>
      <c r="DA148" s="30"/>
      <c r="DB148" s="30"/>
      <c r="DC148" s="30"/>
      <c r="DD148" s="30"/>
      <c r="DE148" s="30"/>
      <c r="DF148" s="30"/>
      <c r="DG148" s="30"/>
      <c r="DH148" s="30"/>
      <c r="DI148" s="30"/>
      <c r="DJ148" s="30"/>
      <c r="DK148" s="30"/>
      <c r="DL148" s="30"/>
      <c r="DM148" s="30"/>
      <c r="DN148" s="30"/>
      <c r="DO148" s="30"/>
      <c r="DP148" s="30"/>
      <c r="DQ148" s="30"/>
      <c r="DR148" s="30"/>
      <c r="DS148" s="30"/>
      <c r="DT148" s="30"/>
      <c r="DU148" s="30"/>
      <c r="DV148" s="30"/>
      <c r="DW148" s="30"/>
      <c r="DX148" s="30"/>
      <c r="DY148" s="30"/>
      <c r="DZ148" s="30"/>
      <c r="EA148" s="30"/>
      <c r="EB148" s="30"/>
      <c r="EC148" s="30"/>
      <c r="ED148" s="30"/>
      <c r="EE148" s="30"/>
      <c r="EF148" s="30"/>
      <c r="EG148" s="30"/>
      <c r="EH148" s="30"/>
      <c r="EI148" s="30"/>
      <c r="EJ148" s="30"/>
      <c r="EK148" s="30"/>
      <c r="EL148" s="30"/>
      <c r="EM148" s="30"/>
      <c r="EN148" s="30"/>
      <c r="EO148" s="30"/>
      <c r="EP148" s="30"/>
      <c r="EQ148" s="30"/>
      <c r="ER148" s="30"/>
      <c r="ES148" s="30"/>
      <c r="ET148" s="30"/>
      <c r="EU148" s="30"/>
      <c r="EV148" s="30"/>
      <c r="EW148" s="30"/>
      <c r="EX148" s="30"/>
      <c r="EY148" s="30"/>
      <c r="EZ148" s="30"/>
      <c r="FA148" s="30"/>
      <c r="FB148" s="30"/>
      <c r="FC148" s="30"/>
      <c r="FD148" s="30"/>
      <c r="FE148" s="30"/>
      <c r="FF148" s="30"/>
      <c r="FG148" s="30">
        <v>173</v>
      </c>
    </row>
    <row r="149" spans="1:163">
      <c r="A149" s="30">
        <v>20</v>
      </c>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c r="CE149" s="30"/>
      <c r="CF149" s="30"/>
      <c r="CG149" s="30"/>
      <c r="CH149" s="30"/>
      <c r="CI149" s="30"/>
      <c r="CJ149" s="30"/>
      <c r="CK149" s="30"/>
      <c r="CL149" s="30"/>
      <c r="CM149" s="30"/>
      <c r="CN149" s="30"/>
      <c r="CO149" s="30"/>
      <c r="CP149" s="30"/>
      <c r="CQ149" s="30"/>
      <c r="CR149" s="30"/>
      <c r="CS149" s="30"/>
      <c r="CT149" s="30"/>
      <c r="CU149" s="30"/>
      <c r="CV149" s="30"/>
      <c r="CW149" s="30"/>
      <c r="CX149" s="30"/>
      <c r="CY149" s="30"/>
      <c r="CZ149" s="30"/>
      <c r="DA149" s="30"/>
      <c r="DB149" s="30"/>
      <c r="DC149" s="30"/>
      <c r="DD149" s="30"/>
      <c r="DE149" s="30"/>
      <c r="DF149" s="30"/>
      <c r="DG149" s="30"/>
      <c r="DH149" s="30"/>
      <c r="DI149" s="30"/>
      <c r="DJ149" s="30"/>
      <c r="DK149" s="30"/>
      <c r="DL149" s="30"/>
      <c r="DM149" s="30"/>
      <c r="DN149" s="30"/>
      <c r="DO149" s="30"/>
      <c r="DP149" s="30"/>
      <c r="DQ149" s="30"/>
      <c r="DR149" s="30"/>
      <c r="DS149" s="30"/>
      <c r="DT149" s="30"/>
      <c r="DU149" s="30"/>
      <c r="DV149" s="30"/>
      <c r="DW149" s="30"/>
      <c r="DX149" s="30"/>
      <c r="DY149" s="30"/>
      <c r="DZ149" s="30"/>
      <c r="EA149" s="30"/>
      <c r="EB149" s="30"/>
      <c r="EC149" s="30"/>
      <c r="ED149" s="30"/>
      <c r="EE149" s="30"/>
      <c r="EF149" s="30"/>
      <c r="EG149" s="30"/>
      <c r="EH149" s="30"/>
      <c r="EI149" s="30"/>
      <c r="EJ149" s="30"/>
      <c r="EK149" s="30"/>
      <c r="EL149" s="30"/>
      <c r="EM149" s="30"/>
      <c r="EN149" s="30"/>
      <c r="EO149" s="30"/>
      <c r="EP149" s="30"/>
      <c r="EQ149" s="30"/>
      <c r="ER149" s="30"/>
      <c r="ES149" s="30"/>
      <c r="ET149" s="30"/>
      <c r="EU149" s="30"/>
      <c r="EV149" s="30"/>
      <c r="EW149" s="30"/>
      <c r="EX149" s="30"/>
      <c r="EY149" s="30"/>
      <c r="EZ149" s="30"/>
      <c r="FA149" s="30"/>
      <c r="FB149" s="30"/>
      <c r="FC149" s="30"/>
      <c r="FD149" s="30"/>
      <c r="FE149" s="30"/>
      <c r="FF149" s="30"/>
      <c r="FG149" s="30">
        <v>174</v>
      </c>
    </row>
    <row r="150" spans="1:163">
      <c r="A150" s="30">
        <v>21</v>
      </c>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c r="CE150" s="30"/>
      <c r="CF150" s="30"/>
      <c r="CG150" s="30"/>
      <c r="CH150" s="30"/>
      <c r="CI150" s="30"/>
      <c r="CJ150" s="30"/>
      <c r="CK150" s="30"/>
      <c r="CL150" s="30"/>
      <c r="CM150" s="30"/>
      <c r="CN150" s="30"/>
      <c r="CO150" s="30"/>
      <c r="CP150" s="30"/>
      <c r="CQ150" s="30"/>
      <c r="CR150" s="30"/>
      <c r="CS150" s="30"/>
      <c r="CT150" s="30"/>
      <c r="CU150" s="30"/>
      <c r="CV150" s="30"/>
      <c r="CW150" s="30"/>
      <c r="CX150" s="30"/>
      <c r="CY150" s="30"/>
      <c r="CZ150" s="30"/>
      <c r="DA150" s="30"/>
      <c r="DB150" s="30"/>
      <c r="DC150" s="30"/>
      <c r="DD150" s="30"/>
      <c r="DE150" s="30"/>
      <c r="DF150" s="30"/>
      <c r="DG150" s="30"/>
      <c r="DH150" s="30"/>
      <c r="DI150" s="30"/>
      <c r="DJ150" s="30"/>
      <c r="DK150" s="30"/>
      <c r="DL150" s="30"/>
      <c r="DM150" s="30"/>
      <c r="DN150" s="30"/>
      <c r="DO150" s="30"/>
      <c r="DP150" s="30"/>
      <c r="DQ150" s="30"/>
      <c r="DR150" s="30"/>
      <c r="DS150" s="30"/>
      <c r="DT150" s="30"/>
      <c r="DU150" s="30"/>
      <c r="DV150" s="30"/>
      <c r="DW150" s="30"/>
      <c r="DX150" s="30"/>
      <c r="DY150" s="30"/>
      <c r="DZ150" s="30"/>
      <c r="EA150" s="30"/>
      <c r="EB150" s="30"/>
      <c r="EC150" s="30"/>
      <c r="ED150" s="30"/>
      <c r="EE150" s="30"/>
      <c r="EF150" s="30"/>
      <c r="EG150" s="30"/>
      <c r="EH150" s="30"/>
      <c r="EI150" s="30"/>
      <c r="EJ150" s="30"/>
      <c r="EK150" s="30"/>
      <c r="EL150" s="30"/>
      <c r="EM150" s="30"/>
      <c r="EN150" s="30"/>
      <c r="EO150" s="30"/>
      <c r="EP150" s="30"/>
      <c r="EQ150" s="30"/>
      <c r="ER150" s="30"/>
      <c r="ES150" s="30"/>
      <c r="ET150" s="30"/>
      <c r="EU150" s="30"/>
      <c r="EV150" s="30"/>
      <c r="EW150" s="30"/>
      <c r="EX150" s="30"/>
      <c r="EY150" s="30"/>
      <c r="EZ150" s="30"/>
      <c r="FA150" s="30"/>
      <c r="FB150" s="30"/>
      <c r="FC150" s="30"/>
      <c r="FD150" s="30"/>
      <c r="FE150" s="30"/>
      <c r="FF150" s="30"/>
      <c r="FG150" s="30">
        <v>175</v>
      </c>
    </row>
    <row r="151" spans="1:163">
      <c r="A151" s="30">
        <v>22</v>
      </c>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c r="CX151" s="30"/>
      <c r="CY151" s="30"/>
      <c r="CZ151" s="30"/>
      <c r="DA151" s="30"/>
      <c r="DB151" s="30"/>
      <c r="DC151" s="30"/>
      <c r="DD151" s="30"/>
      <c r="DE151" s="30"/>
      <c r="DF151" s="30"/>
      <c r="DG151" s="30"/>
      <c r="DH151" s="30"/>
      <c r="DI151" s="30"/>
      <c r="DJ151" s="30"/>
      <c r="DK151" s="30"/>
      <c r="DL151" s="30"/>
      <c r="DM151" s="30"/>
      <c r="DN151" s="30"/>
      <c r="DO151" s="30"/>
      <c r="DP151" s="30"/>
      <c r="DQ151" s="30"/>
      <c r="DR151" s="30"/>
      <c r="DS151" s="30"/>
      <c r="DT151" s="30"/>
      <c r="DU151" s="30"/>
      <c r="DV151" s="30"/>
      <c r="DW151" s="30"/>
      <c r="DX151" s="30"/>
      <c r="DY151" s="30"/>
      <c r="DZ151" s="30"/>
      <c r="EA151" s="30"/>
      <c r="EB151" s="30"/>
      <c r="EC151" s="30"/>
      <c r="ED151" s="30"/>
      <c r="EE151" s="30"/>
      <c r="EF151" s="30"/>
      <c r="EG151" s="30"/>
      <c r="EH151" s="30"/>
      <c r="EI151" s="30"/>
      <c r="EJ151" s="30"/>
      <c r="EK151" s="30"/>
      <c r="EL151" s="30"/>
      <c r="EM151" s="30"/>
      <c r="EN151" s="30"/>
      <c r="EO151" s="30"/>
      <c r="EP151" s="30"/>
      <c r="EQ151" s="30"/>
      <c r="ER151" s="30"/>
      <c r="ES151" s="30"/>
      <c r="ET151" s="30"/>
      <c r="EU151" s="30"/>
      <c r="EV151" s="30"/>
      <c r="EW151" s="30"/>
      <c r="EX151" s="30"/>
      <c r="EY151" s="30"/>
      <c r="EZ151" s="30"/>
      <c r="FA151" s="30"/>
      <c r="FB151" s="30"/>
      <c r="FC151" s="30"/>
      <c r="FD151" s="30"/>
      <c r="FE151" s="30"/>
      <c r="FF151" s="30"/>
      <c r="FG151" s="30">
        <v>176</v>
      </c>
    </row>
    <row r="152" spans="1:163">
      <c r="A152" s="30">
        <v>23</v>
      </c>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30"/>
      <c r="ED152" s="30"/>
      <c r="EE152" s="30"/>
      <c r="EF152" s="30"/>
      <c r="EG152" s="30"/>
      <c r="EH152" s="30"/>
      <c r="EI152" s="30"/>
      <c r="EJ152" s="30"/>
      <c r="EK152" s="30"/>
      <c r="EL152" s="30"/>
      <c r="EM152" s="30"/>
      <c r="EN152" s="30"/>
      <c r="EO152" s="30"/>
      <c r="EP152" s="30"/>
      <c r="EQ152" s="30"/>
      <c r="ER152" s="30"/>
      <c r="ES152" s="30"/>
      <c r="ET152" s="30"/>
      <c r="EU152" s="30"/>
      <c r="EV152" s="30"/>
      <c r="EW152" s="30"/>
      <c r="EX152" s="30"/>
      <c r="EY152" s="30"/>
      <c r="EZ152" s="30"/>
      <c r="FA152" s="30"/>
      <c r="FB152" s="30"/>
      <c r="FC152" s="30"/>
      <c r="FD152" s="30"/>
      <c r="FE152" s="30"/>
      <c r="FF152" s="30"/>
      <c r="FG152" s="30">
        <v>177</v>
      </c>
    </row>
    <row r="153" spans="1:163">
      <c r="A153" s="30">
        <v>24</v>
      </c>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c r="CX153" s="30"/>
      <c r="CY153" s="30"/>
      <c r="CZ153" s="30"/>
      <c r="DA153" s="30"/>
      <c r="DB153" s="30"/>
      <c r="DC153" s="30"/>
      <c r="DD153" s="30"/>
      <c r="DE153" s="30"/>
      <c r="DF153" s="30"/>
      <c r="DG153" s="30"/>
      <c r="DH153" s="30"/>
      <c r="DI153" s="30"/>
      <c r="DJ153" s="30"/>
      <c r="DK153" s="30"/>
      <c r="DL153" s="30"/>
      <c r="DM153" s="30"/>
      <c r="DN153" s="30"/>
      <c r="DO153" s="30"/>
      <c r="DP153" s="30"/>
      <c r="DQ153" s="30"/>
      <c r="DR153" s="30"/>
      <c r="DS153" s="30"/>
      <c r="DT153" s="30"/>
      <c r="DU153" s="30"/>
      <c r="DV153" s="30"/>
      <c r="DW153" s="30"/>
      <c r="DX153" s="30"/>
      <c r="DY153" s="30"/>
      <c r="DZ153" s="30"/>
      <c r="EA153" s="30"/>
      <c r="EB153" s="30"/>
      <c r="EC153" s="30"/>
      <c r="ED153" s="30"/>
      <c r="EE153" s="30"/>
      <c r="EF153" s="30"/>
      <c r="EG153" s="30"/>
      <c r="EH153" s="30"/>
      <c r="EI153" s="30"/>
      <c r="EJ153" s="30"/>
      <c r="EK153" s="30"/>
      <c r="EL153" s="30"/>
      <c r="EM153" s="30"/>
      <c r="EN153" s="30"/>
      <c r="EO153" s="30"/>
      <c r="EP153" s="30"/>
      <c r="EQ153" s="30"/>
      <c r="ER153" s="30"/>
      <c r="ES153" s="30"/>
      <c r="ET153" s="30"/>
      <c r="EU153" s="30"/>
      <c r="EV153" s="30"/>
      <c r="EW153" s="30"/>
      <c r="EX153" s="30"/>
      <c r="EY153" s="30"/>
      <c r="EZ153" s="30"/>
      <c r="FA153" s="30"/>
      <c r="FB153" s="30"/>
      <c r="FC153" s="30"/>
      <c r="FD153" s="30"/>
      <c r="FE153" s="30"/>
      <c r="FF153" s="30"/>
      <c r="FG153" s="30">
        <v>178</v>
      </c>
    </row>
    <row r="154" spans="1:163">
      <c r="A154" s="30">
        <v>25</v>
      </c>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c r="CH154" s="30"/>
      <c r="CI154" s="30"/>
      <c r="CJ154" s="30"/>
      <c r="CK154" s="30"/>
      <c r="CL154" s="30"/>
      <c r="CM154" s="30"/>
      <c r="CN154" s="30"/>
      <c r="CO154" s="30"/>
      <c r="CP154" s="30"/>
      <c r="CQ154" s="30"/>
      <c r="CR154" s="30"/>
      <c r="CS154" s="30"/>
      <c r="CT154" s="30"/>
      <c r="CU154" s="30"/>
      <c r="CV154" s="30"/>
      <c r="CW154" s="30"/>
      <c r="CX154" s="30"/>
      <c r="CY154" s="30"/>
      <c r="CZ154" s="30"/>
      <c r="DA154" s="30"/>
      <c r="DB154" s="30"/>
      <c r="DC154" s="30"/>
      <c r="DD154" s="30"/>
      <c r="DE154" s="30"/>
      <c r="DF154" s="30"/>
      <c r="DG154" s="30"/>
      <c r="DH154" s="30"/>
      <c r="DI154" s="30"/>
      <c r="DJ154" s="30"/>
      <c r="DK154" s="30"/>
      <c r="DL154" s="30"/>
      <c r="DM154" s="30"/>
      <c r="DN154" s="30"/>
      <c r="DO154" s="30"/>
      <c r="DP154" s="30"/>
      <c r="DQ154" s="30"/>
      <c r="DR154" s="30"/>
      <c r="DS154" s="30"/>
      <c r="DT154" s="30"/>
      <c r="DU154" s="30"/>
      <c r="DV154" s="30"/>
      <c r="DW154" s="30"/>
      <c r="DX154" s="30"/>
      <c r="DY154" s="30"/>
      <c r="DZ154" s="30"/>
      <c r="EA154" s="30"/>
      <c r="EB154" s="30"/>
      <c r="EC154" s="30"/>
      <c r="ED154" s="30"/>
      <c r="EE154" s="30"/>
      <c r="EF154" s="30"/>
      <c r="EG154" s="30"/>
      <c r="EH154" s="30"/>
      <c r="EI154" s="30"/>
      <c r="EJ154" s="30"/>
      <c r="EK154" s="30"/>
      <c r="EL154" s="30"/>
      <c r="EM154" s="30"/>
      <c r="EN154" s="30"/>
      <c r="EO154" s="30"/>
      <c r="EP154" s="30"/>
      <c r="EQ154" s="30"/>
      <c r="ER154" s="30"/>
      <c r="ES154" s="30"/>
      <c r="ET154" s="30"/>
      <c r="EU154" s="30"/>
      <c r="EV154" s="30"/>
      <c r="EW154" s="30"/>
      <c r="EX154" s="30"/>
      <c r="EY154" s="30"/>
      <c r="EZ154" s="30"/>
      <c r="FA154" s="30"/>
      <c r="FB154" s="30"/>
      <c r="FC154" s="30"/>
      <c r="FD154" s="30"/>
      <c r="FE154" s="30"/>
      <c r="FF154" s="30"/>
      <c r="FG154" s="30">
        <v>179</v>
      </c>
    </row>
    <row r="155" spans="1:163">
      <c r="A155" s="30">
        <v>26</v>
      </c>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c r="CX155" s="30"/>
      <c r="CY155" s="30"/>
      <c r="CZ155" s="30"/>
      <c r="DA155" s="30"/>
      <c r="DB155" s="30"/>
      <c r="DC155" s="30"/>
      <c r="DD155" s="30"/>
      <c r="DE155" s="30"/>
      <c r="DF155" s="30"/>
      <c r="DG155" s="30"/>
      <c r="DH155" s="30"/>
      <c r="DI155" s="30"/>
      <c r="DJ155" s="30"/>
      <c r="DK155" s="30"/>
      <c r="DL155" s="30"/>
      <c r="DM155" s="30"/>
      <c r="DN155" s="30"/>
      <c r="DO155" s="30"/>
      <c r="DP155" s="30"/>
      <c r="DQ155" s="30"/>
      <c r="DR155" s="30"/>
      <c r="DS155" s="30"/>
      <c r="DT155" s="30"/>
      <c r="DU155" s="30"/>
      <c r="DV155" s="30"/>
      <c r="DW155" s="30"/>
      <c r="DX155" s="30"/>
      <c r="DY155" s="30"/>
      <c r="DZ155" s="30"/>
      <c r="EA155" s="30"/>
      <c r="EB155" s="30"/>
      <c r="EC155" s="30"/>
      <c r="ED155" s="30"/>
      <c r="EE155" s="30"/>
      <c r="EF155" s="30"/>
      <c r="EG155" s="30"/>
      <c r="EH155" s="30"/>
      <c r="EI155" s="30"/>
      <c r="EJ155" s="30"/>
      <c r="EK155" s="30"/>
      <c r="EL155" s="30"/>
      <c r="EM155" s="30"/>
      <c r="EN155" s="30"/>
      <c r="EO155" s="30"/>
      <c r="EP155" s="30"/>
      <c r="EQ155" s="30"/>
      <c r="ER155" s="30"/>
      <c r="ES155" s="30"/>
      <c r="ET155" s="30"/>
      <c r="EU155" s="30"/>
      <c r="EV155" s="30"/>
      <c r="EW155" s="30"/>
      <c r="EX155" s="30"/>
      <c r="EY155" s="30"/>
      <c r="EZ155" s="30"/>
      <c r="FA155" s="30"/>
      <c r="FB155" s="30"/>
      <c r="FC155" s="30"/>
      <c r="FD155" s="30"/>
      <c r="FE155" s="30"/>
      <c r="FF155" s="30"/>
      <c r="FG155" s="30">
        <v>180</v>
      </c>
    </row>
    <row r="156" spans="1:163">
      <c r="A156" s="30">
        <v>27</v>
      </c>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c r="CX156" s="30"/>
      <c r="CY156" s="30"/>
      <c r="CZ156" s="30"/>
      <c r="DA156" s="30"/>
      <c r="DB156" s="30"/>
      <c r="DC156" s="30"/>
      <c r="DD156" s="30"/>
      <c r="DE156" s="30"/>
      <c r="DF156" s="30"/>
      <c r="DG156" s="30"/>
      <c r="DH156" s="30"/>
      <c r="DI156" s="30"/>
      <c r="DJ156" s="30"/>
      <c r="DK156" s="30"/>
      <c r="DL156" s="30"/>
      <c r="DM156" s="30"/>
      <c r="DN156" s="30"/>
      <c r="DO156" s="30"/>
      <c r="DP156" s="30"/>
      <c r="DQ156" s="30"/>
      <c r="DR156" s="30"/>
      <c r="DS156" s="30"/>
      <c r="DT156" s="30"/>
      <c r="DU156" s="30"/>
      <c r="DV156" s="30"/>
      <c r="DW156" s="30"/>
      <c r="DX156" s="30"/>
      <c r="DY156" s="30"/>
      <c r="DZ156" s="30"/>
      <c r="EA156" s="30"/>
      <c r="EB156" s="30"/>
      <c r="EC156" s="30"/>
      <c r="ED156" s="30"/>
      <c r="EE156" s="30"/>
      <c r="EF156" s="30"/>
      <c r="EG156" s="30"/>
      <c r="EH156" s="30"/>
      <c r="EI156" s="30"/>
      <c r="EJ156" s="30"/>
      <c r="EK156" s="30"/>
      <c r="EL156" s="30"/>
      <c r="EM156" s="30"/>
      <c r="EN156" s="30"/>
      <c r="EO156" s="30"/>
      <c r="EP156" s="30"/>
      <c r="EQ156" s="30"/>
      <c r="ER156" s="30"/>
      <c r="ES156" s="30"/>
      <c r="ET156" s="30"/>
      <c r="EU156" s="30"/>
      <c r="EV156" s="30"/>
      <c r="EW156" s="30"/>
      <c r="EX156" s="30"/>
      <c r="EY156" s="30"/>
      <c r="EZ156" s="30"/>
      <c r="FA156" s="30"/>
      <c r="FB156" s="30"/>
      <c r="FC156" s="30"/>
      <c r="FD156" s="30"/>
      <c r="FE156" s="30"/>
      <c r="FF156" s="30"/>
      <c r="FG156" s="30">
        <v>181</v>
      </c>
    </row>
    <row r="157" spans="1:163">
      <c r="A157" s="30">
        <v>28</v>
      </c>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c r="CH157" s="30"/>
      <c r="CI157" s="30"/>
      <c r="CJ157" s="30"/>
      <c r="CK157" s="30"/>
      <c r="CL157" s="30"/>
      <c r="CM157" s="30"/>
      <c r="CN157" s="30"/>
      <c r="CO157" s="30"/>
      <c r="CP157" s="30"/>
      <c r="CQ157" s="30"/>
      <c r="CR157" s="30"/>
      <c r="CS157" s="30"/>
      <c r="CT157" s="30"/>
      <c r="CU157" s="30"/>
      <c r="CV157" s="30"/>
      <c r="CW157" s="30"/>
      <c r="CX157" s="30"/>
      <c r="CY157" s="30"/>
      <c r="CZ157" s="30"/>
      <c r="DA157" s="30"/>
      <c r="DB157" s="30"/>
      <c r="DC157" s="30"/>
      <c r="DD157" s="30"/>
      <c r="DE157" s="30"/>
      <c r="DF157" s="30"/>
      <c r="DG157" s="30"/>
      <c r="DH157" s="30"/>
      <c r="DI157" s="30"/>
      <c r="DJ157" s="30"/>
      <c r="DK157" s="30"/>
      <c r="DL157" s="30"/>
      <c r="DM157" s="30"/>
      <c r="DN157" s="30"/>
      <c r="DO157" s="30"/>
      <c r="DP157" s="30"/>
      <c r="DQ157" s="30"/>
      <c r="DR157" s="30"/>
      <c r="DS157" s="30"/>
      <c r="DT157" s="30"/>
      <c r="DU157" s="30"/>
      <c r="DV157" s="30"/>
      <c r="DW157" s="30"/>
      <c r="DX157" s="30"/>
      <c r="DY157" s="30"/>
      <c r="DZ157" s="30"/>
      <c r="EA157" s="30"/>
      <c r="EB157" s="30"/>
      <c r="EC157" s="30"/>
      <c r="ED157" s="30"/>
      <c r="EE157" s="30"/>
      <c r="EF157" s="30"/>
      <c r="EG157" s="30"/>
      <c r="EH157" s="30"/>
      <c r="EI157" s="30"/>
      <c r="EJ157" s="30"/>
      <c r="EK157" s="30"/>
      <c r="EL157" s="30"/>
      <c r="EM157" s="30"/>
      <c r="EN157" s="30"/>
      <c r="EO157" s="30"/>
      <c r="EP157" s="30"/>
      <c r="EQ157" s="30"/>
      <c r="ER157" s="30"/>
      <c r="ES157" s="30"/>
      <c r="ET157" s="30"/>
      <c r="EU157" s="30"/>
      <c r="EV157" s="30"/>
      <c r="EW157" s="30"/>
      <c r="EX157" s="30"/>
      <c r="EY157" s="30"/>
      <c r="EZ157" s="30"/>
      <c r="FA157" s="30"/>
      <c r="FB157" s="30"/>
      <c r="FC157" s="30"/>
      <c r="FD157" s="30"/>
      <c r="FE157" s="30"/>
      <c r="FF157" s="30"/>
      <c r="FG157" s="30">
        <v>182</v>
      </c>
    </row>
    <row r="158" spans="1:163">
      <c r="A158" s="30">
        <v>29</v>
      </c>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c r="CH158" s="30"/>
      <c r="CI158" s="30"/>
      <c r="CJ158" s="30"/>
      <c r="CK158" s="30"/>
      <c r="CL158" s="30"/>
      <c r="CM158" s="30"/>
      <c r="CN158" s="30"/>
      <c r="CO158" s="30"/>
      <c r="CP158" s="30"/>
      <c r="CQ158" s="30"/>
      <c r="CR158" s="30"/>
      <c r="CS158" s="30"/>
      <c r="CT158" s="30"/>
      <c r="CU158" s="30"/>
      <c r="CV158" s="30"/>
      <c r="CW158" s="30"/>
      <c r="CX158" s="30"/>
      <c r="CY158" s="30"/>
      <c r="CZ158" s="30"/>
      <c r="DA158" s="30"/>
      <c r="DB158" s="30"/>
      <c r="DC158" s="30"/>
      <c r="DD158" s="30"/>
      <c r="DE158" s="30"/>
      <c r="DF158" s="30"/>
      <c r="DG158" s="30"/>
      <c r="DH158" s="30"/>
      <c r="DI158" s="30"/>
      <c r="DJ158" s="30"/>
      <c r="DK158" s="30"/>
      <c r="DL158" s="30"/>
      <c r="DM158" s="30"/>
      <c r="DN158" s="30"/>
      <c r="DO158" s="30"/>
      <c r="DP158" s="30"/>
      <c r="DQ158" s="30"/>
      <c r="DR158" s="30"/>
      <c r="DS158" s="30"/>
      <c r="DT158" s="30"/>
      <c r="DU158" s="30"/>
      <c r="DV158" s="30"/>
      <c r="DW158" s="30"/>
      <c r="DX158" s="30"/>
      <c r="DY158" s="30"/>
      <c r="DZ158" s="30"/>
      <c r="EA158" s="30"/>
      <c r="EB158" s="30"/>
      <c r="EC158" s="30"/>
      <c r="ED158" s="30"/>
      <c r="EE158" s="30"/>
      <c r="EF158" s="30"/>
      <c r="EG158" s="30"/>
      <c r="EH158" s="30"/>
      <c r="EI158" s="30"/>
      <c r="EJ158" s="30"/>
      <c r="EK158" s="30"/>
      <c r="EL158" s="30"/>
      <c r="EM158" s="30"/>
      <c r="EN158" s="30"/>
      <c r="EO158" s="30"/>
      <c r="EP158" s="30"/>
      <c r="EQ158" s="30"/>
      <c r="ER158" s="30"/>
      <c r="ES158" s="30"/>
      <c r="ET158" s="30"/>
      <c r="EU158" s="30"/>
      <c r="EV158" s="30"/>
      <c r="EW158" s="30"/>
      <c r="EX158" s="30"/>
      <c r="EY158" s="30"/>
      <c r="EZ158" s="30"/>
      <c r="FA158" s="30"/>
      <c r="FB158" s="30"/>
      <c r="FC158" s="30"/>
      <c r="FD158" s="30"/>
      <c r="FE158" s="30"/>
      <c r="FF158" s="30"/>
      <c r="FG158" s="30">
        <v>183</v>
      </c>
    </row>
    <row r="159" spans="1:163">
      <c r="A159" s="30">
        <v>30</v>
      </c>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c r="CH159" s="30"/>
      <c r="CI159" s="30"/>
      <c r="CJ159" s="30"/>
      <c r="CK159" s="30"/>
      <c r="CL159" s="30"/>
      <c r="CM159" s="30"/>
      <c r="CN159" s="30"/>
      <c r="CO159" s="30"/>
      <c r="CP159" s="30"/>
      <c r="CQ159" s="30"/>
      <c r="CR159" s="30"/>
      <c r="CS159" s="30"/>
      <c r="CT159" s="30"/>
      <c r="CU159" s="30"/>
      <c r="CV159" s="30"/>
      <c r="CW159" s="30"/>
      <c r="CX159" s="30"/>
      <c r="CY159" s="30"/>
      <c r="CZ159" s="30"/>
      <c r="DA159" s="30"/>
      <c r="DB159" s="30"/>
      <c r="DC159" s="30"/>
      <c r="DD159" s="30"/>
      <c r="DE159" s="30"/>
      <c r="DF159" s="30"/>
      <c r="DG159" s="30"/>
      <c r="DH159" s="30"/>
      <c r="DI159" s="30"/>
      <c r="DJ159" s="30"/>
      <c r="DK159" s="30"/>
      <c r="DL159" s="30"/>
      <c r="DM159" s="30"/>
      <c r="DN159" s="30"/>
      <c r="DO159" s="30"/>
      <c r="DP159" s="30"/>
      <c r="DQ159" s="30"/>
      <c r="DR159" s="30"/>
      <c r="DS159" s="30"/>
      <c r="DT159" s="30"/>
      <c r="DU159" s="30"/>
      <c r="DV159" s="30"/>
      <c r="DW159" s="30"/>
      <c r="DX159" s="30"/>
      <c r="DY159" s="30"/>
      <c r="DZ159" s="30"/>
      <c r="EA159" s="30"/>
      <c r="EB159" s="30"/>
      <c r="EC159" s="30"/>
      <c r="ED159" s="30"/>
      <c r="EE159" s="30"/>
      <c r="EF159" s="30"/>
      <c r="EG159" s="30"/>
      <c r="EH159" s="30"/>
      <c r="EI159" s="30"/>
      <c r="EJ159" s="30"/>
      <c r="EK159" s="30"/>
      <c r="EL159" s="30"/>
      <c r="EM159" s="30"/>
      <c r="EN159" s="30"/>
      <c r="EO159" s="30"/>
      <c r="EP159" s="30"/>
      <c r="EQ159" s="30"/>
      <c r="ER159" s="30"/>
      <c r="ES159" s="30"/>
      <c r="ET159" s="30"/>
      <c r="EU159" s="30"/>
      <c r="EV159" s="30"/>
      <c r="EW159" s="30"/>
      <c r="EX159" s="30"/>
      <c r="EY159" s="30"/>
      <c r="EZ159" s="30"/>
      <c r="FA159" s="30"/>
      <c r="FB159" s="30"/>
      <c r="FC159" s="30"/>
      <c r="FD159" s="30"/>
      <c r="FE159" s="30"/>
      <c r="FF159" s="30"/>
      <c r="FG159" s="30">
        <v>184</v>
      </c>
    </row>
    <row r="160" spans="1:163">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c r="CH160" s="30"/>
      <c r="CI160" s="30"/>
      <c r="CJ160" s="30"/>
      <c r="CK160" s="30"/>
      <c r="CL160" s="30"/>
      <c r="CM160" s="30"/>
      <c r="CN160" s="30"/>
      <c r="CO160" s="30"/>
      <c r="CP160" s="30"/>
      <c r="CQ160" s="30"/>
      <c r="CR160" s="30"/>
      <c r="CS160" s="30"/>
      <c r="CT160" s="30"/>
      <c r="CU160" s="30"/>
      <c r="CV160" s="30"/>
      <c r="CW160" s="30"/>
      <c r="CX160" s="30"/>
      <c r="CY160" s="30"/>
      <c r="CZ160" s="30"/>
      <c r="DA160" s="30"/>
      <c r="DB160" s="30"/>
      <c r="DC160" s="30"/>
      <c r="DD160" s="30"/>
      <c r="DE160" s="30"/>
      <c r="DF160" s="30"/>
      <c r="DG160" s="30"/>
      <c r="DH160" s="30"/>
      <c r="DI160" s="30"/>
      <c r="DJ160" s="30"/>
      <c r="DK160" s="30"/>
      <c r="DL160" s="30"/>
      <c r="DM160" s="30"/>
      <c r="DN160" s="30"/>
      <c r="DO160" s="30"/>
      <c r="DP160" s="30"/>
      <c r="DQ160" s="30"/>
      <c r="DR160" s="30"/>
      <c r="DS160" s="30"/>
      <c r="DT160" s="30"/>
      <c r="DU160" s="30"/>
      <c r="DV160" s="30"/>
      <c r="DW160" s="30"/>
      <c r="DX160" s="30"/>
      <c r="DY160" s="30"/>
      <c r="DZ160" s="30"/>
      <c r="EA160" s="30"/>
      <c r="EB160" s="30"/>
      <c r="EC160" s="30"/>
      <c r="ED160" s="30"/>
      <c r="EE160" s="30"/>
      <c r="EF160" s="30"/>
      <c r="EG160" s="30"/>
      <c r="EH160" s="30"/>
      <c r="EI160" s="30"/>
      <c r="EJ160" s="30"/>
      <c r="EK160" s="30"/>
      <c r="EL160" s="30"/>
      <c r="EM160" s="30"/>
      <c r="EN160" s="30"/>
      <c r="EO160" s="30"/>
      <c r="EP160" s="30"/>
      <c r="EQ160" s="30"/>
      <c r="ER160" s="30"/>
      <c r="ES160" s="30"/>
      <c r="ET160" s="30"/>
      <c r="EU160" s="30"/>
      <c r="EV160" s="30"/>
      <c r="EW160" s="30"/>
      <c r="EX160" s="30"/>
      <c r="EY160" s="30"/>
      <c r="EZ160" s="30"/>
      <c r="FA160" s="30"/>
      <c r="FB160" s="30"/>
      <c r="FC160" s="30"/>
      <c r="FD160" s="30"/>
      <c r="FE160" s="30"/>
      <c r="FF160" s="30"/>
      <c r="FG160" s="30">
        <v>185</v>
      </c>
    </row>
    <row r="161" spans="163:163">
      <c r="FG161" s="30">
        <v>186</v>
      </c>
    </row>
    <row r="162" spans="163:163">
      <c r="FG162" s="30">
        <v>187</v>
      </c>
    </row>
    <row r="163" spans="163:163">
      <c r="FG163" s="30">
        <v>188</v>
      </c>
    </row>
    <row r="164" spans="163:163">
      <c r="FG164" s="30">
        <v>189</v>
      </c>
    </row>
    <row r="165" spans="163:163">
      <c r="FG165" s="30">
        <v>190</v>
      </c>
    </row>
    <row r="166" spans="163:163">
      <c r="FG166" s="30">
        <v>191</v>
      </c>
    </row>
    <row r="167" spans="163:163">
      <c r="FG167" s="30">
        <v>192</v>
      </c>
    </row>
    <row r="168" spans="163:163">
      <c r="FG168" s="30">
        <v>193</v>
      </c>
    </row>
    <row r="169" spans="163:163">
      <c r="FG169" s="30">
        <v>194</v>
      </c>
    </row>
    <row r="170" spans="163:163">
      <c r="FG170" s="30">
        <v>195</v>
      </c>
    </row>
    <row r="171" spans="163:163">
      <c r="FG171" s="30">
        <v>196</v>
      </c>
    </row>
    <row r="172" spans="163:163">
      <c r="FG172" s="30">
        <v>197</v>
      </c>
    </row>
    <row r="173" spans="163:163">
      <c r="FG173" s="30">
        <v>198</v>
      </c>
    </row>
    <row r="174" spans="163:163">
      <c r="FG174" s="30">
        <v>199</v>
      </c>
    </row>
    <row r="175" spans="163:163">
      <c r="FG175" s="30">
        <v>200</v>
      </c>
    </row>
    <row r="176" spans="163:163">
      <c r="FG176" s="30">
        <v>201</v>
      </c>
    </row>
    <row r="177" spans="163:163">
      <c r="FG177" s="30">
        <v>202</v>
      </c>
    </row>
    <row r="178" spans="163:163">
      <c r="FG178" s="30">
        <v>203</v>
      </c>
    </row>
    <row r="179" spans="163:163">
      <c r="FG179" s="30">
        <v>204</v>
      </c>
    </row>
    <row r="180" spans="163:163">
      <c r="FG180" s="30">
        <v>205</v>
      </c>
    </row>
    <row r="181" spans="163:163">
      <c r="FG181" s="30">
        <v>206</v>
      </c>
    </row>
    <row r="182" spans="163:163">
      <c r="FG182" s="30">
        <v>207</v>
      </c>
    </row>
    <row r="183" spans="163:163">
      <c r="FG183" s="30">
        <v>208</v>
      </c>
    </row>
    <row r="184" spans="163:163">
      <c r="FG184" s="30">
        <v>209</v>
      </c>
    </row>
    <row r="185" spans="163:163">
      <c r="FG185" s="30">
        <v>210</v>
      </c>
    </row>
    <row r="186" spans="163:163">
      <c r="FG186" s="30">
        <v>211</v>
      </c>
    </row>
    <row r="187" spans="163:163">
      <c r="FG187" s="30">
        <v>212</v>
      </c>
    </row>
    <row r="188" spans="163:163">
      <c r="FG188" s="30">
        <v>213</v>
      </c>
    </row>
    <row r="189" spans="163:163">
      <c r="FG189" s="30">
        <v>214</v>
      </c>
    </row>
    <row r="190" spans="163:163">
      <c r="FG190" s="30">
        <v>215</v>
      </c>
    </row>
    <row r="191" spans="163:163">
      <c r="FG191" s="30">
        <v>216</v>
      </c>
    </row>
    <row r="192" spans="163:163">
      <c r="FG192" s="30">
        <v>217</v>
      </c>
    </row>
    <row r="193" spans="163:163">
      <c r="FG193" s="30">
        <v>218</v>
      </c>
    </row>
    <row r="194" spans="163:163">
      <c r="FG194" s="30">
        <v>219</v>
      </c>
    </row>
    <row r="195" spans="163:163">
      <c r="FG195" s="30">
        <v>220</v>
      </c>
    </row>
    <row r="196" spans="163:163">
      <c r="FG196" s="30">
        <v>221</v>
      </c>
    </row>
    <row r="197" spans="163:163">
      <c r="FG197" s="30">
        <v>222</v>
      </c>
    </row>
    <row r="198" spans="163:163">
      <c r="FG198" s="30">
        <v>223</v>
      </c>
    </row>
    <row r="199" spans="163:163">
      <c r="FG199" s="30">
        <v>224</v>
      </c>
    </row>
    <row r="200" spans="163:163">
      <c r="FG200" s="30">
        <v>225</v>
      </c>
    </row>
    <row r="201" spans="163:163">
      <c r="FG201" s="30">
        <v>226</v>
      </c>
    </row>
    <row r="202" spans="163:163">
      <c r="FG202" s="30">
        <v>227</v>
      </c>
    </row>
    <row r="203" spans="163:163">
      <c r="FG203" s="30">
        <v>228</v>
      </c>
    </row>
    <row r="204" spans="163:163">
      <c r="FG204" s="30">
        <v>229</v>
      </c>
    </row>
    <row r="205" spans="163:163">
      <c r="FG205" s="30">
        <v>230</v>
      </c>
    </row>
    <row r="206" spans="163:163">
      <c r="FG206" s="30">
        <v>231</v>
      </c>
    </row>
    <row r="207" spans="163:163">
      <c r="FG207" s="30">
        <v>232</v>
      </c>
    </row>
    <row r="208" spans="163:163">
      <c r="FG208" s="30">
        <v>233</v>
      </c>
    </row>
    <row r="209" spans="163:163">
      <c r="FG209" s="30">
        <v>234</v>
      </c>
    </row>
    <row r="210" spans="163:163">
      <c r="FG210" s="30">
        <v>235</v>
      </c>
    </row>
    <row r="211" spans="163:163">
      <c r="FG211" s="30">
        <v>236</v>
      </c>
    </row>
    <row r="212" spans="163:163">
      <c r="FG212" s="30">
        <v>237</v>
      </c>
    </row>
    <row r="213" spans="163:163">
      <c r="FG213" s="30">
        <v>238</v>
      </c>
    </row>
    <row r="214" spans="163:163">
      <c r="FG214" s="30">
        <v>239</v>
      </c>
    </row>
    <row r="215" spans="163:163">
      <c r="FG215" s="30">
        <v>240</v>
      </c>
    </row>
    <row r="216" spans="163:163">
      <c r="FG216" s="30">
        <v>241</v>
      </c>
    </row>
    <row r="217" spans="163:163">
      <c r="FG217" s="30">
        <v>242</v>
      </c>
    </row>
    <row r="218" spans="163:163">
      <c r="FG218" s="30">
        <v>243</v>
      </c>
    </row>
    <row r="219" spans="163:163">
      <c r="FG219" s="30">
        <v>244</v>
      </c>
    </row>
    <row r="220" spans="163:163">
      <c r="FG220" s="30">
        <v>245</v>
      </c>
    </row>
    <row r="221" spans="163:163">
      <c r="FG221" s="30">
        <v>246</v>
      </c>
    </row>
    <row r="222" spans="163:163">
      <c r="FG222" s="30">
        <v>247</v>
      </c>
    </row>
    <row r="223" spans="163:163">
      <c r="FG223" s="30">
        <v>248</v>
      </c>
    </row>
    <row r="224" spans="163:163">
      <c r="FG224" s="30">
        <v>249</v>
      </c>
    </row>
    <row r="225" spans="163:163">
      <c r="FG225" s="30">
        <v>250</v>
      </c>
    </row>
    <row r="226" spans="163:163">
      <c r="FG226" s="30">
        <v>251</v>
      </c>
    </row>
    <row r="227" spans="163:163">
      <c r="FG227" s="30">
        <v>252</v>
      </c>
    </row>
    <row r="228" spans="163:163">
      <c r="FG228" s="30">
        <v>253</v>
      </c>
    </row>
    <row r="229" spans="163:163">
      <c r="FG229" s="30">
        <v>254</v>
      </c>
    </row>
    <row r="230" spans="163:163">
      <c r="FG230" s="30">
        <v>255</v>
      </c>
    </row>
    <row r="231" spans="163:163">
      <c r="FG231" s="30">
        <v>256</v>
      </c>
    </row>
    <row r="232" spans="163:163">
      <c r="FG232" s="30">
        <v>257</v>
      </c>
    </row>
    <row r="233" spans="163:163">
      <c r="FG233" s="30">
        <v>258</v>
      </c>
    </row>
    <row r="234" spans="163:163">
      <c r="FG234" s="30">
        <v>259</v>
      </c>
    </row>
    <row r="235" spans="163:163">
      <c r="FG235" s="30">
        <v>260</v>
      </c>
    </row>
    <row r="236" spans="163:163">
      <c r="FG236" s="30">
        <v>261</v>
      </c>
    </row>
    <row r="237" spans="163:163">
      <c r="FG237" s="30">
        <v>262</v>
      </c>
    </row>
    <row r="238" spans="163:163">
      <c r="FG238" s="30">
        <v>263</v>
      </c>
    </row>
    <row r="239" spans="163:163">
      <c r="FG239" s="30">
        <v>264</v>
      </c>
    </row>
    <row r="240" spans="163:163">
      <c r="FG240" s="30">
        <v>265</v>
      </c>
    </row>
    <row r="241" spans="163:163">
      <c r="FG241" s="30">
        <v>266</v>
      </c>
    </row>
    <row r="242" spans="163:163">
      <c r="FG242" s="30">
        <v>267</v>
      </c>
    </row>
    <row r="243" spans="163:163">
      <c r="FG243" s="30">
        <v>268</v>
      </c>
    </row>
    <row r="244" spans="163:163">
      <c r="FG244" s="30">
        <v>269</v>
      </c>
    </row>
    <row r="245" spans="163:163">
      <c r="FG245" s="30">
        <v>270</v>
      </c>
    </row>
    <row r="246" spans="163:163">
      <c r="FG246" s="30">
        <v>271</v>
      </c>
    </row>
    <row r="247" spans="163:163">
      <c r="FG247" s="30">
        <v>272</v>
      </c>
    </row>
    <row r="248" spans="163:163">
      <c r="FG248" s="30">
        <v>273</v>
      </c>
    </row>
    <row r="249" spans="163:163">
      <c r="FG249" s="30">
        <v>274</v>
      </c>
    </row>
    <row r="250" spans="163:163">
      <c r="FG250" s="30">
        <v>275</v>
      </c>
    </row>
    <row r="251" spans="163:163">
      <c r="FG251" s="30">
        <v>276</v>
      </c>
    </row>
    <row r="252" spans="163:163">
      <c r="FG252" s="30">
        <v>277</v>
      </c>
    </row>
    <row r="253" spans="163:163">
      <c r="FG253" s="30">
        <v>278</v>
      </c>
    </row>
    <row r="254" spans="163:163">
      <c r="FG254" s="30">
        <v>279</v>
      </c>
    </row>
    <row r="255" spans="163:163">
      <c r="FG255" s="30">
        <v>280</v>
      </c>
    </row>
    <row r="256" spans="163:163">
      <c r="FG256" s="30">
        <v>281</v>
      </c>
    </row>
    <row r="257" spans="163:163">
      <c r="FG257" s="30">
        <v>282</v>
      </c>
    </row>
    <row r="258" spans="163:163">
      <c r="FG258" s="30">
        <v>283</v>
      </c>
    </row>
    <row r="259" spans="163:163">
      <c r="FG259" s="30">
        <v>284</v>
      </c>
    </row>
    <row r="260" spans="163:163">
      <c r="FG260" s="30">
        <v>285</v>
      </c>
    </row>
    <row r="261" spans="163:163">
      <c r="FG261" s="30">
        <v>286</v>
      </c>
    </row>
    <row r="262" spans="163:163">
      <c r="FG262" s="30">
        <v>287</v>
      </c>
    </row>
    <row r="263" spans="163:163">
      <c r="FG263" s="30">
        <v>288</v>
      </c>
    </row>
    <row r="264" spans="163:163">
      <c r="FG264" s="30">
        <v>289</v>
      </c>
    </row>
    <row r="265" spans="163:163">
      <c r="FG265" s="30">
        <v>290</v>
      </c>
    </row>
    <row r="266" spans="163:163">
      <c r="FG266" s="30">
        <v>291</v>
      </c>
    </row>
    <row r="267" spans="163:163">
      <c r="FG267" s="30">
        <v>292</v>
      </c>
    </row>
    <row r="268" spans="163:163">
      <c r="FG268" s="30">
        <v>293</v>
      </c>
    </row>
    <row r="269" spans="163:163">
      <c r="FG269" s="30">
        <v>294</v>
      </c>
    </row>
    <row r="270" spans="163:163">
      <c r="FG270" s="30">
        <v>295</v>
      </c>
    </row>
    <row r="271" spans="163:163">
      <c r="FG271" s="30">
        <v>296</v>
      </c>
    </row>
    <row r="272" spans="163:163">
      <c r="FG272" s="30">
        <v>297</v>
      </c>
    </row>
    <row r="273" spans="163:163">
      <c r="FG273" s="30">
        <v>298</v>
      </c>
    </row>
    <row r="274" spans="163:163">
      <c r="FG274" s="30">
        <v>299</v>
      </c>
    </row>
    <row r="275" spans="163:163">
      <c r="FG275" s="30">
        <v>300</v>
      </c>
    </row>
    <row r="276" spans="163:163">
      <c r="FG276" s="30">
        <v>301</v>
      </c>
    </row>
    <row r="277" spans="163:163">
      <c r="FG277" s="30">
        <v>302</v>
      </c>
    </row>
    <row r="278" spans="163:163">
      <c r="FG278" s="30">
        <v>303</v>
      </c>
    </row>
    <row r="279" spans="163:163">
      <c r="FG279" s="30">
        <v>304</v>
      </c>
    </row>
    <row r="280" spans="163:163">
      <c r="FG280" s="30">
        <v>305</v>
      </c>
    </row>
    <row r="281" spans="163:163">
      <c r="FG281" s="30">
        <v>306</v>
      </c>
    </row>
    <row r="282" spans="163:163">
      <c r="FG282" s="30">
        <v>307</v>
      </c>
    </row>
    <row r="283" spans="163:163">
      <c r="FG283" s="30">
        <v>308</v>
      </c>
    </row>
    <row r="284" spans="163:163">
      <c r="FG284" s="30">
        <v>309</v>
      </c>
    </row>
    <row r="285" spans="163:163">
      <c r="FG285" s="30">
        <v>310</v>
      </c>
    </row>
    <row r="286" spans="163:163">
      <c r="FG286" s="30">
        <v>311</v>
      </c>
    </row>
    <row r="287" spans="163:163">
      <c r="FG287" s="30">
        <v>312</v>
      </c>
    </row>
    <row r="288" spans="163:163">
      <c r="FG288" s="30">
        <v>313</v>
      </c>
    </row>
    <row r="289" spans="163:163">
      <c r="FG289" s="30">
        <v>314</v>
      </c>
    </row>
    <row r="290" spans="163:163">
      <c r="FG290" s="30">
        <v>315</v>
      </c>
    </row>
    <row r="291" spans="163:163">
      <c r="FG291" s="30">
        <v>316</v>
      </c>
    </row>
    <row r="292" spans="163:163">
      <c r="FG292" s="30">
        <v>317</v>
      </c>
    </row>
    <row r="293" spans="163:163">
      <c r="FG293" s="30">
        <v>318</v>
      </c>
    </row>
    <row r="294" spans="163:163">
      <c r="FG294" s="30">
        <v>319</v>
      </c>
    </row>
    <row r="295" spans="163:163">
      <c r="FG295" s="30">
        <v>320</v>
      </c>
    </row>
    <row r="296" spans="163:163">
      <c r="FG296" s="30">
        <v>321</v>
      </c>
    </row>
    <row r="297" spans="163:163">
      <c r="FG297" s="30">
        <v>322</v>
      </c>
    </row>
    <row r="298" spans="163:163">
      <c r="FG298" s="30">
        <v>323</v>
      </c>
    </row>
    <row r="299" spans="163:163">
      <c r="FG299" s="30">
        <v>324</v>
      </c>
    </row>
    <row r="300" spans="163:163">
      <c r="FG300" s="30">
        <v>325</v>
      </c>
    </row>
    <row r="301" spans="163:163">
      <c r="FG301" s="30">
        <v>326</v>
      </c>
    </row>
    <row r="302" spans="163:163">
      <c r="FG302" s="30">
        <v>327</v>
      </c>
    </row>
    <row r="303" spans="163:163">
      <c r="FG303" s="30">
        <v>328</v>
      </c>
    </row>
    <row r="304" spans="163:163">
      <c r="FG304" s="30">
        <v>329</v>
      </c>
    </row>
    <row r="305" spans="163:163">
      <c r="FG305" s="30">
        <v>330</v>
      </c>
    </row>
    <row r="306" spans="163:163">
      <c r="FG306" s="30">
        <v>331</v>
      </c>
    </row>
    <row r="307" spans="163:163">
      <c r="FG307" s="30">
        <v>332</v>
      </c>
    </row>
    <row r="308" spans="163:163">
      <c r="FG308" s="30">
        <v>333</v>
      </c>
    </row>
    <row r="309" spans="163:163">
      <c r="FG309" s="30">
        <v>334</v>
      </c>
    </row>
    <row r="310" spans="163:163">
      <c r="FG310" s="30">
        <v>335</v>
      </c>
    </row>
    <row r="311" spans="163:163">
      <c r="FG311" s="30">
        <v>336</v>
      </c>
    </row>
    <row r="312" spans="163:163">
      <c r="FG312" s="30">
        <v>337</v>
      </c>
    </row>
    <row r="313" spans="163:163">
      <c r="FG313" s="30">
        <v>338</v>
      </c>
    </row>
    <row r="314" spans="163:163">
      <c r="FG314" s="30">
        <v>339</v>
      </c>
    </row>
    <row r="315" spans="163:163">
      <c r="FG315" s="30">
        <v>340</v>
      </c>
    </row>
    <row r="316" spans="163:163">
      <c r="FG316" s="30">
        <v>341</v>
      </c>
    </row>
    <row r="317" spans="163:163">
      <c r="FG317" s="30">
        <v>342</v>
      </c>
    </row>
    <row r="318" spans="163:163">
      <c r="FG318" s="30">
        <v>343</v>
      </c>
    </row>
    <row r="319" spans="163:163">
      <c r="FG319" s="30">
        <v>344</v>
      </c>
    </row>
    <row r="320" spans="163:163">
      <c r="FG320" s="30">
        <v>345</v>
      </c>
    </row>
    <row r="321" spans="163:163">
      <c r="FG321" s="30">
        <v>346</v>
      </c>
    </row>
    <row r="322" spans="163:163">
      <c r="FG322" s="30">
        <v>347</v>
      </c>
    </row>
    <row r="323" spans="163:163">
      <c r="FG323" s="30">
        <v>348</v>
      </c>
    </row>
    <row r="324" spans="163:163">
      <c r="FG324" s="30">
        <v>349</v>
      </c>
    </row>
    <row r="325" spans="163:163">
      <c r="FG325" s="30">
        <v>350</v>
      </c>
    </row>
    <row r="326" spans="163:163">
      <c r="FG326" s="30">
        <v>351</v>
      </c>
    </row>
    <row r="327" spans="163:163">
      <c r="FG327" s="30">
        <v>352</v>
      </c>
    </row>
    <row r="328" spans="163:163">
      <c r="FG328" s="30">
        <v>353</v>
      </c>
    </row>
    <row r="329" spans="163:163">
      <c r="FG329" s="30">
        <v>354</v>
      </c>
    </row>
    <row r="330" spans="163:163">
      <c r="FG330" s="30">
        <v>355</v>
      </c>
    </row>
    <row r="331" spans="163:163">
      <c r="FG331" s="30">
        <v>356</v>
      </c>
    </row>
    <row r="332" spans="163:163">
      <c r="FG332" s="30">
        <v>357</v>
      </c>
    </row>
    <row r="333" spans="163:163">
      <c r="FG333" s="30">
        <v>358</v>
      </c>
    </row>
    <row r="334" spans="163:163">
      <c r="FG334" s="30">
        <v>359</v>
      </c>
    </row>
    <row r="335" spans="163:163">
      <c r="FG335" s="30">
        <v>360</v>
      </c>
    </row>
    <row r="336" spans="163:163">
      <c r="FG336" s="30">
        <v>361</v>
      </c>
    </row>
    <row r="337" spans="163:163">
      <c r="FG337" s="30">
        <v>362</v>
      </c>
    </row>
    <row r="338" spans="163:163">
      <c r="FG338" s="30">
        <v>363</v>
      </c>
    </row>
    <row r="339" spans="163:163">
      <c r="FG339" s="30">
        <v>364</v>
      </c>
    </row>
    <row r="340" spans="163:163">
      <c r="FG340" s="30">
        <v>365</v>
      </c>
    </row>
    <row r="341" spans="163:163">
      <c r="FG341" s="30">
        <v>366</v>
      </c>
    </row>
    <row r="342" spans="163:163">
      <c r="FG342" s="30">
        <v>367</v>
      </c>
    </row>
    <row r="343" spans="163:163">
      <c r="FG343" s="30">
        <v>368</v>
      </c>
    </row>
    <row r="344" spans="163:163">
      <c r="FG344" s="30">
        <v>369</v>
      </c>
    </row>
    <row r="345" spans="163:163">
      <c r="FG345" s="30">
        <v>370</v>
      </c>
    </row>
    <row r="346" spans="163:163">
      <c r="FG346" s="30">
        <v>371</v>
      </c>
    </row>
    <row r="347" spans="163:163">
      <c r="FG347" s="30">
        <v>372</v>
      </c>
    </row>
    <row r="348" spans="163:163">
      <c r="FG348" s="30">
        <v>373</v>
      </c>
    </row>
    <row r="349" spans="163:163">
      <c r="FG349" s="30">
        <v>374</v>
      </c>
    </row>
    <row r="350" spans="163:163">
      <c r="FG350" s="30">
        <v>375</v>
      </c>
    </row>
    <row r="351" spans="163:163">
      <c r="FG351" s="30">
        <v>376</v>
      </c>
    </row>
    <row r="352" spans="163:163">
      <c r="FG352" s="30">
        <v>377</v>
      </c>
    </row>
    <row r="353" spans="163:163">
      <c r="FG353" s="30">
        <v>378</v>
      </c>
    </row>
    <row r="354" spans="163:163">
      <c r="FG354" s="30">
        <v>379</v>
      </c>
    </row>
    <row r="355" spans="163:163">
      <c r="FG355" s="30">
        <v>380</v>
      </c>
    </row>
    <row r="356" spans="163:163">
      <c r="FG356" s="30">
        <v>381</v>
      </c>
    </row>
    <row r="357" spans="163:163">
      <c r="FG357" s="30">
        <v>382</v>
      </c>
    </row>
    <row r="358" spans="163:163">
      <c r="FG358" s="30">
        <v>383</v>
      </c>
    </row>
    <row r="359" spans="163:163">
      <c r="FG359" s="30">
        <v>384</v>
      </c>
    </row>
    <row r="360" spans="163:163">
      <c r="FG360" s="30">
        <v>385</v>
      </c>
    </row>
    <row r="361" spans="163:163">
      <c r="FG361" s="30">
        <v>386</v>
      </c>
    </row>
    <row r="362" spans="163:163">
      <c r="FG362" s="30">
        <v>387</v>
      </c>
    </row>
    <row r="363" spans="163:163">
      <c r="FG363" s="30">
        <v>388</v>
      </c>
    </row>
    <row r="364" spans="163:163">
      <c r="FG364" s="30">
        <v>389</v>
      </c>
    </row>
    <row r="365" spans="163:163">
      <c r="FG365" s="30">
        <v>390</v>
      </c>
    </row>
    <row r="366" spans="163:163">
      <c r="FG366" s="30">
        <v>391</v>
      </c>
    </row>
    <row r="367" spans="163:163">
      <c r="FG367" s="30">
        <v>392</v>
      </c>
    </row>
    <row r="368" spans="163:163">
      <c r="FG368" s="30">
        <v>393</v>
      </c>
    </row>
    <row r="369" spans="163:163">
      <c r="FG369" s="30">
        <v>394</v>
      </c>
    </row>
    <row r="370" spans="163:163">
      <c r="FG370" s="30">
        <v>395</v>
      </c>
    </row>
    <row r="371" spans="163:163">
      <c r="FG371" s="30">
        <v>396</v>
      </c>
    </row>
    <row r="372" spans="163:163">
      <c r="FG372" s="30">
        <v>397</v>
      </c>
    </row>
    <row r="373" spans="163:163">
      <c r="FG373" s="30">
        <v>398</v>
      </c>
    </row>
    <row r="374" spans="163:163">
      <c r="FG374" s="30">
        <v>399</v>
      </c>
    </row>
    <row r="375" spans="163:163">
      <c r="FG375" s="30">
        <v>400</v>
      </c>
    </row>
    <row r="376" spans="163:163">
      <c r="FG376" s="30">
        <v>401</v>
      </c>
    </row>
    <row r="377" spans="163:163">
      <c r="FG377" s="30">
        <v>402</v>
      </c>
    </row>
    <row r="378" spans="163:163">
      <c r="FG378" s="30">
        <v>403</v>
      </c>
    </row>
    <row r="379" spans="163:163">
      <c r="FG379" s="30">
        <v>404</v>
      </c>
    </row>
    <row r="380" spans="163:163">
      <c r="FG380" s="30">
        <v>405</v>
      </c>
    </row>
    <row r="381" spans="163:163">
      <c r="FG381" s="30">
        <v>406</v>
      </c>
    </row>
    <row r="382" spans="163:163">
      <c r="FG382" s="30">
        <v>407</v>
      </c>
    </row>
    <row r="383" spans="163:163">
      <c r="FG383" s="30">
        <v>408</v>
      </c>
    </row>
    <row r="384" spans="163:163">
      <c r="FG384" s="30">
        <v>409</v>
      </c>
    </row>
    <row r="385" spans="163:163">
      <c r="FG385" s="30">
        <v>410</v>
      </c>
    </row>
    <row r="386" spans="163:163">
      <c r="FG386" s="30">
        <v>411</v>
      </c>
    </row>
    <row r="387" spans="163:163">
      <c r="FG387" s="30">
        <v>412</v>
      </c>
    </row>
    <row r="388" spans="163:163">
      <c r="FG388" s="30">
        <v>413</v>
      </c>
    </row>
    <row r="389" spans="163:163">
      <c r="FG389" s="30">
        <v>414</v>
      </c>
    </row>
    <row r="390" spans="163:163">
      <c r="FG390" s="30">
        <v>415</v>
      </c>
    </row>
    <row r="391" spans="163:163">
      <c r="FG391" s="30">
        <v>416</v>
      </c>
    </row>
    <row r="392" spans="163:163">
      <c r="FG392" s="30">
        <v>417</v>
      </c>
    </row>
    <row r="393" spans="163:163">
      <c r="FG393" s="30">
        <v>418</v>
      </c>
    </row>
    <row r="394" spans="163:163">
      <c r="FG394" s="30">
        <v>419</v>
      </c>
    </row>
    <row r="395" spans="163:163">
      <c r="FG395" s="30">
        <v>420</v>
      </c>
    </row>
    <row r="396" spans="163:163">
      <c r="FG396" s="30">
        <v>421</v>
      </c>
    </row>
    <row r="397" spans="163:163">
      <c r="FG397" s="30">
        <v>422</v>
      </c>
    </row>
    <row r="398" spans="163:163">
      <c r="FG398" s="30">
        <v>423</v>
      </c>
    </row>
    <row r="399" spans="163:163">
      <c r="FG399" s="30">
        <v>424</v>
      </c>
    </row>
    <row r="400" spans="163:163">
      <c r="FG400" s="30">
        <v>425</v>
      </c>
    </row>
    <row r="401" spans="163:163">
      <c r="FG401" s="30">
        <v>426</v>
      </c>
    </row>
    <row r="402" spans="163:163">
      <c r="FG402" s="30">
        <v>427</v>
      </c>
    </row>
    <row r="403" spans="163:163">
      <c r="FG403" s="30">
        <v>428</v>
      </c>
    </row>
    <row r="404" spans="163:163">
      <c r="FG404" s="30">
        <v>429</v>
      </c>
    </row>
    <row r="405" spans="163:163">
      <c r="FG405" s="30">
        <v>430</v>
      </c>
    </row>
    <row r="406" spans="163:163">
      <c r="FG406" s="30">
        <v>431</v>
      </c>
    </row>
    <row r="407" spans="163:163">
      <c r="FG407" s="30">
        <v>432</v>
      </c>
    </row>
    <row r="408" spans="163:163">
      <c r="FG408" s="30">
        <v>433</v>
      </c>
    </row>
    <row r="409" spans="163:163">
      <c r="FG409" s="30">
        <v>434</v>
      </c>
    </row>
    <row r="410" spans="163:163">
      <c r="FG410" s="30">
        <v>435</v>
      </c>
    </row>
    <row r="411" spans="163:163">
      <c r="FG411" s="30">
        <v>436</v>
      </c>
    </row>
    <row r="412" spans="163:163">
      <c r="FG412" s="30">
        <v>437</v>
      </c>
    </row>
    <row r="413" spans="163:163">
      <c r="FG413" s="30">
        <v>438</v>
      </c>
    </row>
    <row r="414" spans="163:163">
      <c r="FG414" s="30">
        <v>439</v>
      </c>
    </row>
    <row r="415" spans="163:163">
      <c r="FG415" s="30">
        <v>440</v>
      </c>
    </row>
    <row r="416" spans="163:163">
      <c r="FG416" s="30">
        <v>441</v>
      </c>
    </row>
    <row r="417" spans="163:163">
      <c r="FG417" s="30">
        <v>442</v>
      </c>
    </row>
    <row r="418" spans="163:163">
      <c r="FG418" s="30">
        <v>443</v>
      </c>
    </row>
    <row r="419" spans="163:163">
      <c r="FG419" s="30">
        <v>444</v>
      </c>
    </row>
    <row r="420" spans="163:163">
      <c r="FG420" s="30">
        <v>445</v>
      </c>
    </row>
    <row r="421" spans="163:163">
      <c r="FG421" s="30">
        <v>446</v>
      </c>
    </row>
    <row r="422" spans="163:163">
      <c r="FG422" s="30">
        <v>447</v>
      </c>
    </row>
    <row r="423" spans="163:163">
      <c r="FG423" s="30">
        <v>448</v>
      </c>
    </row>
    <row r="424" spans="163:163">
      <c r="FG424" s="30">
        <v>449</v>
      </c>
    </row>
    <row r="425" spans="163:163">
      <c r="FG425" s="30">
        <v>450</v>
      </c>
    </row>
    <row r="426" spans="163:163">
      <c r="FG426" s="30">
        <v>451</v>
      </c>
    </row>
    <row r="427" spans="163:163">
      <c r="FG427" s="30">
        <v>452</v>
      </c>
    </row>
    <row r="428" spans="163:163">
      <c r="FG428" s="30">
        <v>453</v>
      </c>
    </row>
    <row r="429" spans="163:163">
      <c r="FG429" s="30">
        <v>454</v>
      </c>
    </row>
    <row r="430" spans="163:163">
      <c r="FG430" s="30">
        <v>455</v>
      </c>
    </row>
    <row r="431" spans="163:163">
      <c r="FG431" s="30">
        <v>456</v>
      </c>
    </row>
    <row r="432" spans="163:163">
      <c r="FG432" s="30">
        <v>457</v>
      </c>
    </row>
    <row r="433" spans="163:163">
      <c r="FG433" s="30">
        <v>458</v>
      </c>
    </row>
    <row r="434" spans="163:163">
      <c r="FG434" s="30">
        <v>459</v>
      </c>
    </row>
    <row r="435" spans="163:163">
      <c r="FG435" s="30">
        <v>460</v>
      </c>
    </row>
    <row r="436" spans="163:163">
      <c r="FG436" s="30">
        <v>461</v>
      </c>
    </row>
    <row r="437" spans="163:163">
      <c r="FG437" s="30">
        <v>462</v>
      </c>
    </row>
    <row r="438" spans="163:163">
      <c r="FG438" s="30">
        <v>463</v>
      </c>
    </row>
    <row r="439" spans="163:163">
      <c r="FG439" s="30">
        <v>464</v>
      </c>
    </row>
    <row r="440" spans="163:163">
      <c r="FG440" s="30">
        <v>465</v>
      </c>
    </row>
    <row r="441" spans="163:163">
      <c r="FG441" s="30">
        <v>466</v>
      </c>
    </row>
    <row r="442" spans="163:163">
      <c r="FG442" s="30">
        <v>467</v>
      </c>
    </row>
    <row r="443" spans="163:163">
      <c r="FG443" s="30">
        <v>468</v>
      </c>
    </row>
    <row r="444" spans="163:163">
      <c r="FG444" s="30">
        <v>469</v>
      </c>
    </row>
    <row r="445" spans="163:163">
      <c r="FG445" s="30">
        <v>470</v>
      </c>
    </row>
    <row r="446" spans="163:163">
      <c r="FG446" s="30">
        <v>471</v>
      </c>
    </row>
    <row r="447" spans="163:163">
      <c r="FG447" s="30">
        <v>472</v>
      </c>
    </row>
    <row r="448" spans="163:163">
      <c r="FG448" s="30">
        <v>473</v>
      </c>
    </row>
    <row r="449" spans="163:163">
      <c r="FG449" s="30">
        <v>474</v>
      </c>
    </row>
    <row r="450" spans="163:163">
      <c r="FG450" s="30">
        <v>475</v>
      </c>
    </row>
    <row r="451" spans="163:163">
      <c r="FG451" s="30">
        <v>476</v>
      </c>
    </row>
    <row r="452" spans="163:163">
      <c r="FG452" s="30">
        <v>477</v>
      </c>
    </row>
    <row r="453" spans="163:163">
      <c r="FG453" s="30">
        <v>478</v>
      </c>
    </row>
    <row r="454" spans="163:163">
      <c r="FG454" s="30">
        <v>479</v>
      </c>
    </row>
    <row r="455" spans="163:163">
      <c r="FG455" s="30">
        <v>480</v>
      </c>
    </row>
    <row r="456" spans="163:163">
      <c r="FG456" s="30">
        <v>481</v>
      </c>
    </row>
    <row r="457" spans="163:163">
      <c r="FG457" s="30">
        <v>482</v>
      </c>
    </row>
    <row r="458" spans="163:163">
      <c r="FG458" s="30">
        <v>483</v>
      </c>
    </row>
    <row r="459" spans="163:163">
      <c r="FG459" s="30">
        <v>484</v>
      </c>
    </row>
    <row r="460" spans="163:163">
      <c r="FG460" s="30">
        <v>485</v>
      </c>
    </row>
    <row r="461" spans="163:163">
      <c r="FG461" s="30">
        <v>486</v>
      </c>
    </row>
    <row r="462" spans="163:163">
      <c r="FG462" s="30">
        <v>487</v>
      </c>
    </row>
    <row r="463" spans="163:163">
      <c r="FG463" s="30">
        <v>488</v>
      </c>
    </row>
    <row r="464" spans="163:163">
      <c r="FG464" s="30">
        <v>489</v>
      </c>
    </row>
    <row r="465" spans="163:163">
      <c r="FG465" s="30">
        <v>490</v>
      </c>
    </row>
    <row r="466" spans="163:163">
      <c r="FG466" s="30">
        <v>491</v>
      </c>
    </row>
    <row r="467" spans="163:163">
      <c r="FG467" s="30">
        <v>492</v>
      </c>
    </row>
    <row r="468" spans="163:163">
      <c r="FG468" s="30">
        <v>493</v>
      </c>
    </row>
    <row r="469" spans="163:163">
      <c r="FG469" s="30">
        <v>494</v>
      </c>
    </row>
    <row r="470" spans="163:163">
      <c r="FG470" s="30">
        <v>495</v>
      </c>
    </row>
    <row r="471" spans="163:163">
      <c r="FG471" s="30">
        <v>496</v>
      </c>
    </row>
    <row r="472" spans="163:163">
      <c r="FG472" s="30">
        <v>497</v>
      </c>
    </row>
    <row r="473" spans="163:163">
      <c r="FG473" s="30">
        <v>498</v>
      </c>
    </row>
    <row r="474" spans="163:163">
      <c r="FG474" s="30">
        <v>499</v>
      </c>
    </row>
    <row r="475" spans="163:163">
      <c r="FG475" s="30">
        <v>500</v>
      </c>
    </row>
    <row r="476" spans="163:163">
      <c r="FG476" s="30">
        <v>501</v>
      </c>
    </row>
    <row r="477" spans="163:163">
      <c r="FG477" s="30">
        <v>502</v>
      </c>
    </row>
    <row r="478" spans="163:163">
      <c r="FG478" s="30">
        <v>503</v>
      </c>
    </row>
    <row r="479" spans="163:163">
      <c r="FG479" s="30">
        <v>504</v>
      </c>
    </row>
    <row r="480" spans="163:163">
      <c r="FG480" s="30">
        <v>505</v>
      </c>
    </row>
    <row r="481" spans="163:163">
      <c r="FG481" s="30">
        <v>506</v>
      </c>
    </row>
    <row r="482" spans="163:163">
      <c r="FG482" s="30">
        <v>507</v>
      </c>
    </row>
    <row r="483" spans="163:163">
      <c r="FG483" s="30">
        <v>508</v>
      </c>
    </row>
    <row r="484" spans="163:163">
      <c r="FG484" s="30">
        <v>509</v>
      </c>
    </row>
    <row r="485" spans="163:163">
      <c r="FG485" s="30">
        <v>510</v>
      </c>
    </row>
    <row r="486" spans="163:163">
      <c r="FG486" s="30">
        <v>511</v>
      </c>
    </row>
    <row r="487" spans="163:163">
      <c r="FG487" s="30">
        <v>512</v>
      </c>
    </row>
    <row r="488" spans="163:163">
      <c r="FG488" s="30">
        <v>513</v>
      </c>
    </row>
    <row r="489" spans="163:163">
      <c r="FG489" s="30">
        <v>514</v>
      </c>
    </row>
    <row r="490" spans="163:163">
      <c r="FG490" s="30">
        <v>515</v>
      </c>
    </row>
    <row r="491" spans="163:163">
      <c r="FG491" s="30">
        <v>516</v>
      </c>
    </row>
    <row r="492" spans="163:163">
      <c r="FG492" s="30">
        <v>517</v>
      </c>
    </row>
    <row r="493" spans="163:163">
      <c r="FG493" s="30">
        <v>518</v>
      </c>
    </row>
    <row r="494" spans="163:163">
      <c r="FG494" s="30">
        <v>519</v>
      </c>
    </row>
    <row r="495" spans="163:163">
      <c r="FG495" s="30">
        <v>520</v>
      </c>
    </row>
    <row r="496" spans="163:163">
      <c r="FG496" s="30">
        <v>521</v>
      </c>
    </row>
    <row r="497" spans="163:163">
      <c r="FG497" s="30">
        <v>522</v>
      </c>
    </row>
    <row r="498" spans="163:163">
      <c r="FG498" s="30">
        <v>523</v>
      </c>
    </row>
    <row r="499" spans="163:163">
      <c r="FG499" s="30">
        <v>524</v>
      </c>
    </row>
    <row r="500" spans="163:163">
      <c r="FG500" s="30">
        <v>525</v>
      </c>
    </row>
    <row r="501" spans="163:163">
      <c r="FG501" s="30">
        <v>526</v>
      </c>
    </row>
    <row r="502" spans="163:163">
      <c r="FG502" s="30">
        <v>527</v>
      </c>
    </row>
    <row r="503" spans="163:163">
      <c r="FG503" s="30">
        <v>528</v>
      </c>
    </row>
    <row r="504" spans="163:163">
      <c r="FG504" s="30">
        <v>529</v>
      </c>
    </row>
    <row r="505" spans="163:163">
      <c r="FG505" s="30">
        <v>530</v>
      </c>
    </row>
    <row r="506" spans="163:163">
      <c r="FG506" s="30">
        <v>531</v>
      </c>
    </row>
    <row r="507" spans="163:163">
      <c r="FG507" s="30">
        <v>532</v>
      </c>
    </row>
    <row r="508" spans="163:163">
      <c r="FG508" s="30">
        <v>533</v>
      </c>
    </row>
    <row r="509" spans="163:163">
      <c r="FG509" s="30">
        <v>534</v>
      </c>
    </row>
    <row r="510" spans="163:163">
      <c r="FG510" s="30">
        <v>535</v>
      </c>
    </row>
    <row r="511" spans="163:163">
      <c r="FG511" s="30">
        <v>536</v>
      </c>
    </row>
    <row r="512" spans="163:163">
      <c r="FG512" s="30">
        <v>537</v>
      </c>
    </row>
    <row r="513" spans="163:163">
      <c r="FG513" s="30">
        <v>538</v>
      </c>
    </row>
    <row r="514" spans="163:163">
      <c r="FG514" s="30">
        <v>539</v>
      </c>
    </row>
    <row r="515" spans="163:163">
      <c r="FG515" s="30">
        <v>540</v>
      </c>
    </row>
    <row r="516" spans="163:163">
      <c r="FG516" s="30">
        <v>541</v>
      </c>
    </row>
    <row r="517" spans="163:163">
      <c r="FG517" s="30">
        <v>542</v>
      </c>
    </row>
    <row r="518" spans="163:163">
      <c r="FG518" s="30">
        <v>543</v>
      </c>
    </row>
    <row r="519" spans="163:163">
      <c r="FG519" s="30">
        <v>544</v>
      </c>
    </row>
    <row r="520" spans="163:163">
      <c r="FG520" s="30">
        <v>545</v>
      </c>
    </row>
    <row r="521" spans="163:163">
      <c r="FG521" s="30">
        <v>546</v>
      </c>
    </row>
    <row r="522" spans="163:163">
      <c r="FG522" s="30">
        <v>547</v>
      </c>
    </row>
    <row r="523" spans="163:163">
      <c r="FG523" s="30">
        <v>548</v>
      </c>
    </row>
    <row r="524" spans="163:163">
      <c r="FG524" s="30">
        <v>549</v>
      </c>
    </row>
    <row r="525" spans="163:163">
      <c r="FG525" s="30">
        <v>550</v>
      </c>
    </row>
    <row r="526" spans="163:163">
      <c r="FG526" s="30">
        <v>551</v>
      </c>
    </row>
    <row r="527" spans="163:163">
      <c r="FG527" s="30">
        <v>552</v>
      </c>
    </row>
    <row r="528" spans="163:163">
      <c r="FG528" s="30">
        <v>553</v>
      </c>
    </row>
    <row r="529" spans="163:163">
      <c r="FG529" s="30">
        <v>554</v>
      </c>
    </row>
    <row r="530" spans="163:163">
      <c r="FG530" s="30">
        <v>555</v>
      </c>
    </row>
    <row r="531" spans="163:163">
      <c r="FG531" s="30">
        <v>556</v>
      </c>
    </row>
    <row r="532" spans="163:163">
      <c r="FG532" s="30">
        <v>557</v>
      </c>
    </row>
    <row r="533" spans="163:163">
      <c r="FG533" s="30">
        <v>558</v>
      </c>
    </row>
    <row r="534" spans="163:163">
      <c r="FG534" s="30">
        <v>559</v>
      </c>
    </row>
    <row r="535" spans="163:163">
      <c r="FG535" s="30">
        <v>560</v>
      </c>
    </row>
    <row r="536" spans="163:163">
      <c r="FG536" s="30">
        <v>561</v>
      </c>
    </row>
    <row r="537" spans="163:163">
      <c r="FG537" s="30">
        <v>562</v>
      </c>
    </row>
    <row r="538" spans="163:163">
      <c r="FG538" s="30">
        <v>563</v>
      </c>
    </row>
    <row r="539" spans="163:163">
      <c r="FG539" s="30">
        <v>564</v>
      </c>
    </row>
    <row r="540" spans="163:163">
      <c r="FG540" s="30">
        <v>565</v>
      </c>
    </row>
    <row r="541" spans="163:163">
      <c r="FG541" s="30">
        <v>566</v>
      </c>
    </row>
    <row r="542" spans="163:163">
      <c r="FG542" s="30">
        <v>567</v>
      </c>
    </row>
    <row r="543" spans="163:163">
      <c r="FG543" s="30">
        <v>568</v>
      </c>
    </row>
    <row r="544" spans="163:163">
      <c r="FG544" s="30">
        <v>569</v>
      </c>
    </row>
    <row r="545" spans="163:163">
      <c r="FG545" s="30">
        <v>570</v>
      </c>
    </row>
    <row r="546" spans="163:163">
      <c r="FG546" s="30">
        <v>571</v>
      </c>
    </row>
    <row r="547" spans="163:163">
      <c r="FG547" s="30">
        <v>572</v>
      </c>
    </row>
    <row r="548" spans="163:163">
      <c r="FG548" s="30">
        <v>573</v>
      </c>
    </row>
    <row r="549" spans="163:163">
      <c r="FG549" s="30">
        <v>574</v>
      </c>
    </row>
    <row r="550" spans="163:163">
      <c r="FG550" s="30">
        <v>575</v>
      </c>
    </row>
    <row r="551" spans="163:163">
      <c r="FG551" s="30">
        <v>576</v>
      </c>
    </row>
    <row r="552" spans="163:163">
      <c r="FG552" s="30">
        <v>577</v>
      </c>
    </row>
    <row r="553" spans="163:163">
      <c r="FG553" s="30">
        <v>578</v>
      </c>
    </row>
    <row r="554" spans="163:163">
      <c r="FG554" s="30">
        <v>579</v>
      </c>
    </row>
    <row r="555" spans="163:163">
      <c r="FG555" s="30">
        <v>580</v>
      </c>
    </row>
    <row r="556" spans="163:163">
      <c r="FG556" s="30">
        <v>581</v>
      </c>
    </row>
    <row r="557" spans="163:163">
      <c r="FG557" s="30">
        <v>582</v>
      </c>
    </row>
    <row r="558" spans="163:163">
      <c r="FG558" s="30">
        <v>583</v>
      </c>
    </row>
    <row r="559" spans="163:163">
      <c r="FG559" s="30">
        <v>584</v>
      </c>
    </row>
    <row r="560" spans="163:163">
      <c r="FG560" s="30">
        <v>585</v>
      </c>
    </row>
    <row r="561" spans="163:163">
      <c r="FG561" s="30">
        <v>586</v>
      </c>
    </row>
    <row r="562" spans="163:163">
      <c r="FG562" s="30">
        <v>587</v>
      </c>
    </row>
    <row r="563" spans="163:163">
      <c r="FG563" s="30">
        <v>588</v>
      </c>
    </row>
    <row r="564" spans="163:163">
      <c r="FG564" s="30">
        <v>589</v>
      </c>
    </row>
    <row r="565" spans="163:163">
      <c r="FG565" s="30">
        <v>590</v>
      </c>
    </row>
    <row r="566" spans="163:163">
      <c r="FG566" s="30">
        <v>591</v>
      </c>
    </row>
    <row r="567" spans="163:163">
      <c r="FG567" s="30">
        <v>592</v>
      </c>
    </row>
    <row r="568" spans="163:163">
      <c r="FG568" s="30">
        <v>593</v>
      </c>
    </row>
    <row r="569" spans="163:163">
      <c r="FG569" s="30">
        <v>594</v>
      </c>
    </row>
    <row r="570" spans="163:163">
      <c r="FG570" s="30">
        <v>595</v>
      </c>
    </row>
    <row r="571" spans="163:163">
      <c r="FG571" s="30">
        <v>596</v>
      </c>
    </row>
    <row r="572" spans="163:163">
      <c r="FG572" s="30">
        <v>597</v>
      </c>
    </row>
    <row r="573" spans="163:163">
      <c r="FG573" s="30">
        <v>598</v>
      </c>
    </row>
    <row r="574" spans="163:163">
      <c r="FG574" s="30">
        <v>599</v>
      </c>
    </row>
    <row r="575" spans="163:163">
      <c r="FG575" s="30">
        <v>600</v>
      </c>
    </row>
    <row r="576" spans="163:163">
      <c r="FG576" s="30">
        <v>601</v>
      </c>
    </row>
    <row r="577" spans="163:163">
      <c r="FG577" s="30">
        <v>602</v>
      </c>
    </row>
    <row r="578" spans="163:163">
      <c r="FG578" s="30">
        <v>603</v>
      </c>
    </row>
    <row r="579" spans="163:163">
      <c r="FG579" s="30">
        <v>604</v>
      </c>
    </row>
    <row r="580" spans="163:163">
      <c r="FG580" s="30">
        <v>605</v>
      </c>
    </row>
    <row r="581" spans="163:163">
      <c r="FG581" s="30">
        <v>606</v>
      </c>
    </row>
    <row r="582" spans="163:163">
      <c r="FG582" s="30">
        <v>607</v>
      </c>
    </row>
    <row r="583" spans="163:163">
      <c r="FG583" s="30">
        <v>608</v>
      </c>
    </row>
    <row r="584" spans="163:163">
      <c r="FG584" s="30">
        <v>609</v>
      </c>
    </row>
    <row r="585" spans="163:163">
      <c r="FG585" s="30">
        <v>610</v>
      </c>
    </row>
    <row r="586" spans="163:163">
      <c r="FG586" s="30">
        <v>611</v>
      </c>
    </row>
    <row r="587" spans="163:163">
      <c r="FG587" s="30">
        <v>612</v>
      </c>
    </row>
    <row r="588" spans="163:163">
      <c r="FG588" s="30">
        <v>613</v>
      </c>
    </row>
    <row r="589" spans="163:163">
      <c r="FG589" s="30">
        <v>614</v>
      </c>
    </row>
    <row r="590" spans="163:163">
      <c r="FG590" s="30">
        <v>615</v>
      </c>
    </row>
    <row r="591" spans="163:163">
      <c r="FG591" s="30">
        <v>616</v>
      </c>
    </row>
    <row r="592" spans="163:163">
      <c r="FG592" s="30">
        <v>617</v>
      </c>
    </row>
    <row r="593" spans="163:163">
      <c r="FG593" s="30">
        <v>618</v>
      </c>
    </row>
    <row r="594" spans="163:163">
      <c r="FG594" s="30">
        <v>619</v>
      </c>
    </row>
    <row r="595" spans="163:163">
      <c r="FG595" s="30">
        <v>620</v>
      </c>
    </row>
    <row r="596" spans="163:163">
      <c r="FG596" s="30">
        <v>621</v>
      </c>
    </row>
    <row r="597" spans="163:163">
      <c r="FG597" s="30">
        <v>622</v>
      </c>
    </row>
    <row r="598" spans="163:163">
      <c r="FG598" s="30">
        <v>623</v>
      </c>
    </row>
    <row r="599" spans="163:163">
      <c r="FG599" s="30">
        <v>624</v>
      </c>
    </row>
    <row r="600" spans="163:163">
      <c r="FG600" s="30">
        <v>625</v>
      </c>
    </row>
    <row r="601" spans="163:163">
      <c r="FG601" s="30">
        <v>626</v>
      </c>
    </row>
    <row r="602" spans="163:163">
      <c r="FG602" s="30">
        <v>627</v>
      </c>
    </row>
    <row r="603" spans="163:163">
      <c r="FG603" s="30">
        <v>628</v>
      </c>
    </row>
    <row r="604" spans="163:163">
      <c r="FG604" s="30">
        <v>629</v>
      </c>
    </row>
    <row r="605" spans="163:163">
      <c r="FG605" s="30">
        <v>630</v>
      </c>
    </row>
    <row r="606" spans="163:163">
      <c r="FG606" s="30">
        <v>631</v>
      </c>
    </row>
    <row r="607" spans="163:163">
      <c r="FG607" s="30">
        <v>632</v>
      </c>
    </row>
    <row r="608" spans="163:163">
      <c r="FG608" s="30">
        <v>633</v>
      </c>
    </row>
    <row r="609" spans="163:163">
      <c r="FG609" s="30">
        <v>634</v>
      </c>
    </row>
    <row r="610" spans="163:163">
      <c r="FG610" s="30">
        <v>635</v>
      </c>
    </row>
    <row r="611" spans="163:163">
      <c r="FG611" s="30">
        <v>636</v>
      </c>
    </row>
    <row r="612" spans="163:163">
      <c r="FG612" s="30">
        <v>637</v>
      </c>
    </row>
    <row r="613" spans="163:163">
      <c r="FG613" s="30">
        <v>638</v>
      </c>
    </row>
    <row r="614" spans="163:163">
      <c r="FG614" s="30">
        <v>639</v>
      </c>
    </row>
    <row r="615" spans="163:163">
      <c r="FG615" s="30">
        <v>640</v>
      </c>
    </row>
    <row r="616" spans="163:163">
      <c r="FG616" s="30">
        <v>641</v>
      </c>
    </row>
    <row r="617" spans="163:163">
      <c r="FG617" s="30">
        <v>642</v>
      </c>
    </row>
    <row r="618" spans="163:163">
      <c r="FG618" s="30">
        <v>643</v>
      </c>
    </row>
    <row r="619" spans="163:163">
      <c r="FG619" s="30">
        <v>644</v>
      </c>
    </row>
    <row r="620" spans="163:163">
      <c r="FG620" s="30">
        <v>645</v>
      </c>
    </row>
    <row r="621" spans="163:163">
      <c r="FG621" s="30">
        <v>646</v>
      </c>
    </row>
    <row r="622" spans="163:163">
      <c r="FG622" s="30">
        <v>647</v>
      </c>
    </row>
    <row r="623" spans="163:163">
      <c r="FG623" s="30">
        <v>648</v>
      </c>
    </row>
    <row r="624" spans="163:163">
      <c r="FG624" s="30">
        <v>649</v>
      </c>
    </row>
    <row r="625" spans="163:163">
      <c r="FG625" s="30">
        <v>650</v>
      </c>
    </row>
    <row r="626" spans="163:163">
      <c r="FG626" s="30">
        <v>651</v>
      </c>
    </row>
    <row r="627" spans="163:163">
      <c r="FG627" s="30">
        <v>652</v>
      </c>
    </row>
    <row r="628" spans="163:163">
      <c r="FG628" s="30">
        <v>653</v>
      </c>
    </row>
    <row r="629" spans="163:163">
      <c r="FG629" s="30">
        <v>654</v>
      </c>
    </row>
    <row r="630" spans="163:163">
      <c r="FG630" s="30">
        <v>655</v>
      </c>
    </row>
    <row r="631" spans="163:163">
      <c r="FG631" s="30">
        <v>656</v>
      </c>
    </row>
    <row r="632" spans="163:163">
      <c r="FG632" s="30">
        <v>657</v>
      </c>
    </row>
    <row r="633" spans="163:163">
      <c r="FG633" s="30">
        <v>658</v>
      </c>
    </row>
    <row r="634" spans="163:163">
      <c r="FG634" s="30">
        <v>659</v>
      </c>
    </row>
    <row r="635" spans="163:163">
      <c r="FG635" s="30">
        <v>660</v>
      </c>
    </row>
    <row r="636" spans="163:163">
      <c r="FG636" s="30">
        <v>661</v>
      </c>
    </row>
    <row r="637" spans="163:163">
      <c r="FG637" s="30">
        <v>662</v>
      </c>
    </row>
    <row r="638" spans="163:163">
      <c r="FG638" s="30">
        <v>663</v>
      </c>
    </row>
    <row r="639" spans="163:163">
      <c r="FG639" s="30">
        <v>664</v>
      </c>
    </row>
    <row r="640" spans="163:163">
      <c r="FG640" s="30">
        <v>665</v>
      </c>
    </row>
    <row r="641" spans="163:163">
      <c r="FG641" s="30">
        <v>666</v>
      </c>
    </row>
    <row r="642" spans="163:163">
      <c r="FG642" s="30">
        <v>667</v>
      </c>
    </row>
    <row r="643" spans="163:163">
      <c r="FG643" s="30">
        <v>668</v>
      </c>
    </row>
    <row r="644" spans="163:163">
      <c r="FG644" s="30">
        <v>669</v>
      </c>
    </row>
    <row r="645" spans="163:163">
      <c r="FG645" s="30">
        <v>670</v>
      </c>
    </row>
    <row r="646" spans="163:163">
      <c r="FG646" s="30">
        <v>671</v>
      </c>
    </row>
    <row r="647" spans="163:163">
      <c r="FG647" s="30">
        <v>672</v>
      </c>
    </row>
    <row r="648" spans="163:163">
      <c r="FG648" s="30">
        <v>673</v>
      </c>
    </row>
    <row r="649" spans="163:163">
      <c r="FG649" s="30">
        <v>674</v>
      </c>
    </row>
    <row r="650" spans="163:163">
      <c r="FG650" s="30">
        <v>675</v>
      </c>
    </row>
    <row r="651" spans="163:163">
      <c r="FG651" s="30">
        <v>676</v>
      </c>
    </row>
    <row r="652" spans="163:163">
      <c r="FG652" s="30">
        <v>677</v>
      </c>
    </row>
    <row r="653" spans="163:163">
      <c r="FG653" s="30">
        <v>678</v>
      </c>
    </row>
    <row r="654" spans="163:163">
      <c r="FG654" s="30">
        <v>679</v>
      </c>
    </row>
    <row r="655" spans="163:163">
      <c r="FG655" s="30">
        <v>680</v>
      </c>
    </row>
    <row r="656" spans="163:163">
      <c r="FG656" s="30">
        <v>681</v>
      </c>
    </row>
    <row r="657" spans="163:163">
      <c r="FG657" s="30">
        <v>682</v>
      </c>
    </row>
    <row r="658" spans="163:163">
      <c r="FG658" s="30">
        <v>683</v>
      </c>
    </row>
    <row r="659" spans="163:163">
      <c r="FG659" s="30">
        <v>684</v>
      </c>
    </row>
    <row r="660" spans="163:163">
      <c r="FG660" s="30">
        <v>685</v>
      </c>
    </row>
    <row r="661" spans="163:163">
      <c r="FG661" s="30">
        <v>686</v>
      </c>
    </row>
    <row r="662" spans="163:163">
      <c r="FG662" s="30">
        <v>687</v>
      </c>
    </row>
    <row r="663" spans="163:163">
      <c r="FG663" s="30">
        <v>688</v>
      </c>
    </row>
    <row r="664" spans="163:163">
      <c r="FG664" s="30">
        <v>689</v>
      </c>
    </row>
    <row r="665" spans="163:163">
      <c r="FG665" s="30">
        <v>690</v>
      </c>
    </row>
    <row r="666" spans="163:163">
      <c r="FG666" s="30">
        <v>691</v>
      </c>
    </row>
    <row r="667" spans="163:163">
      <c r="FG667" s="30">
        <v>692</v>
      </c>
    </row>
    <row r="668" spans="163:163">
      <c r="FG668" s="30">
        <v>693</v>
      </c>
    </row>
    <row r="669" spans="163:163">
      <c r="FG669" s="30">
        <v>694</v>
      </c>
    </row>
    <row r="670" spans="163:163">
      <c r="FG670" s="30">
        <v>695</v>
      </c>
    </row>
    <row r="671" spans="163:163">
      <c r="FG671" s="30">
        <v>696</v>
      </c>
    </row>
    <row r="672" spans="163:163">
      <c r="FG672" s="30">
        <v>697</v>
      </c>
    </row>
    <row r="673" spans="163:163">
      <c r="FG673" s="30">
        <v>698</v>
      </c>
    </row>
    <row r="674" spans="163:163">
      <c r="FG674" s="30">
        <v>699</v>
      </c>
    </row>
    <row r="675" spans="163:163">
      <c r="FG675" s="30">
        <v>700</v>
      </c>
    </row>
    <row r="676" spans="163:163">
      <c r="FG676" s="30">
        <v>701</v>
      </c>
    </row>
    <row r="677" spans="163:163">
      <c r="FG677" s="30">
        <v>702</v>
      </c>
    </row>
    <row r="678" spans="163:163">
      <c r="FG678" s="30">
        <v>703</v>
      </c>
    </row>
    <row r="679" spans="163:163">
      <c r="FG679" s="30">
        <v>704</v>
      </c>
    </row>
    <row r="680" spans="163:163">
      <c r="FG680" s="30">
        <v>705</v>
      </c>
    </row>
    <row r="681" spans="163:163">
      <c r="FG681" s="30">
        <v>706</v>
      </c>
    </row>
    <row r="682" spans="163:163">
      <c r="FG682" s="30">
        <v>707</v>
      </c>
    </row>
    <row r="683" spans="163:163">
      <c r="FG683" s="30">
        <v>708</v>
      </c>
    </row>
    <row r="684" spans="163:163">
      <c r="FG684" s="30">
        <v>709</v>
      </c>
    </row>
    <row r="685" spans="163:163">
      <c r="FG685" s="30">
        <v>710</v>
      </c>
    </row>
    <row r="686" spans="163:163">
      <c r="FG686" s="30">
        <v>711</v>
      </c>
    </row>
    <row r="687" spans="163:163">
      <c r="FG687" s="30">
        <v>712</v>
      </c>
    </row>
    <row r="688" spans="163:163">
      <c r="FG688" s="30">
        <v>713</v>
      </c>
    </row>
    <row r="689" spans="163:163">
      <c r="FG689" s="30">
        <v>714</v>
      </c>
    </row>
    <row r="690" spans="163:163">
      <c r="FG690" s="30">
        <v>715</v>
      </c>
    </row>
    <row r="691" spans="163:163">
      <c r="FG691" s="30">
        <v>716</v>
      </c>
    </row>
    <row r="692" spans="163:163">
      <c r="FG692" s="30">
        <v>717</v>
      </c>
    </row>
    <row r="693" spans="163:163">
      <c r="FG693" s="30">
        <v>718</v>
      </c>
    </row>
    <row r="694" spans="163:163">
      <c r="FG694" s="30">
        <v>719</v>
      </c>
    </row>
    <row r="695" spans="163:163">
      <c r="FG695" s="30">
        <v>720</v>
      </c>
    </row>
    <row r="696" spans="163:163">
      <c r="FG696" s="30">
        <v>721</v>
      </c>
    </row>
    <row r="697" spans="163:163">
      <c r="FG697" s="30">
        <v>722</v>
      </c>
    </row>
    <row r="698" spans="163:163">
      <c r="FG698" s="30">
        <v>723</v>
      </c>
    </row>
    <row r="699" spans="163:163">
      <c r="FG699" s="30">
        <v>724</v>
      </c>
    </row>
    <row r="700" spans="163:163">
      <c r="FG700" s="30">
        <v>725</v>
      </c>
    </row>
    <row r="701" spans="163:163">
      <c r="FG701" s="30">
        <v>726</v>
      </c>
    </row>
    <row r="702" spans="163:163">
      <c r="FG702" s="30">
        <v>727</v>
      </c>
    </row>
    <row r="703" spans="163:163">
      <c r="FG703" s="30">
        <v>728</v>
      </c>
    </row>
    <row r="704" spans="163:163">
      <c r="FG704" s="30">
        <v>729</v>
      </c>
    </row>
    <row r="705" spans="163:163">
      <c r="FG705" s="30">
        <v>730</v>
      </c>
    </row>
    <row r="706" spans="163:163">
      <c r="FG706" s="30">
        <v>731</v>
      </c>
    </row>
    <row r="707" spans="163:163">
      <c r="FG707" s="30">
        <v>732</v>
      </c>
    </row>
    <row r="708" spans="163:163">
      <c r="FG708" s="30">
        <v>733</v>
      </c>
    </row>
    <row r="709" spans="163:163">
      <c r="FG709" s="30">
        <v>734</v>
      </c>
    </row>
    <row r="710" spans="163:163">
      <c r="FG710" s="30">
        <v>735</v>
      </c>
    </row>
    <row r="711" spans="163:163">
      <c r="FG711" s="30">
        <v>736</v>
      </c>
    </row>
    <row r="712" spans="163:163">
      <c r="FG712" s="30">
        <v>737</v>
      </c>
    </row>
    <row r="713" spans="163:163">
      <c r="FG713" s="30">
        <v>738</v>
      </c>
    </row>
    <row r="714" spans="163:163">
      <c r="FG714" s="30">
        <v>739</v>
      </c>
    </row>
    <row r="715" spans="163:163">
      <c r="FG715" s="30">
        <v>740</v>
      </c>
    </row>
    <row r="716" spans="163:163">
      <c r="FG716" s="30">
        <v>741</v>
      </c>
    </row>
    <row r="717" spans="163:163">
      <c r="FG717" s="30">
        <v>742</v>
      </c>
    </row>
    <row r="718" spans="163:163">
      <c r="FG718" s="30">
        <v>743</v>
      </c>
    </row>
    <row r="719" spans="163:163">
      <c r="FG719" s="30">
        <v>744</v>
      </c>
    </row>
    <row r="720" spans="163:163">
      <c r="FG720" s="30">
        <v>745</v>
      </c>
    </row>
    <row r="721" spans="163:163">
      <c r="FG721" s="30">
        <v>746</v>
      </c>
    </row>
    <row r="722" spans="163:163">
      <c r="FG722" s="30">
        <v>747</v>
      </c>
    </row>
    <row r="723" spans="163:163">
      <c r="FG723" s="30">
        <v>748</v>
      </c>
    </row>
    <row r="724" spans="163:163">
      <c r="FG724" s="30">
        <v>749</v>
      </c>
    </row>
    <row r="725" spans="163:163">
      <c r="FG725" s="30">
        <v>750</v>
      </c>
    </row>
    <row r="726" spans="163:163">
      <c r="FG726" s="30">
        <v>751</v>
      </c>
    </row>
    <row r="727" spans="163:163">
      <c r="FG727" s="30">
        <v>752</v>
      </c>
    </row>
    <row r="728" spans="163:163">
      <c r="FG728" s="30">
        <v>753</v>
      </c>
    </row>
    <row r="729" spans="163:163">
      <c r="FG729" s="30">
        <v>754</v>
      </c>
    </row>
    <row r="730" spans="163:163">
      <c r="FG730" s="30">
        <v>755</v>
      </c>
    </row>
    <row r="731" spans="163:163">
      <c r="FG731" s="30">
        <v>756</v>
      </c>
    </row>
    <row r="732" spans="163:163">
      <c r="FG732" s="30">
        <v>757</v>
      </c>
    </row>
    <row r="733" spans="163:163">
      <c r="FG733" s="30">
        <v>758</v>
      </c>
    </row>
    <row r="734" spans="163:163">
      <c r="FG734" s="30">
        <v>759</v>
      </c>
    </row>
    <row r="735" spans="163:163">
      <c r="FG735" s="30">
        <v>760</v>
      </c>
    </row>
    <row r="736" spans="163:163">
      <c r="FG736" s="30">
        <v>761</v>
      </c>
    </row>
    <row r="737" spans="163:163">
      <c r="FG737" s="30">
        <v>762</v>
      </c>
    </row>
    <row r="738" spans="163:163">
      <c r="FG738" s="30">
        <v>763</v>
      </c>
    </row>
    <row r="739" spans="163:163">
      <c r="FG739" s="30">
        <v>764</v>
      </c>
    </row>
    <row r="740" spans="163:163">
      <c r="FG740" s="30">
        <v>765</v>
      </c>
    </row>
    <row r="741" spans="163:163">
      <c r="FG741" s="30">
        <v>766</v>
      </c>
    </row>
    <row r="742" spans="163:163">
      <c r="FG742" s="30">
        <v>767</v>
      </c>
    </row>
    <row r="743" spans="163:163">
      <c r="FG743" s="30">
        <v>768</v>
      </c>
    </row>
    <row r="744" spans="163:163">
      <c r="FG744" s="30">
        <v>769</v>
      </c>
    </row>
    <row r="745" spans="163:163">
      <c r="FG745" s="30">
        <v>770</v>
      </c>
    </row>
    <row r="746" spans="163:163">
      <c r="FG746" s="30">
        <v>771</v>
      </c>
    </row>
    <row r="747" spans="163:163">
      <c r="FG747" s="30">
        <v>772</v>
      </c>
    </row>
    <row r="748" spans="163:163">
      <c r="FG748" s="30">
        <v>773</v>
      </c>
    </row>
    <row r="749" spans="163:163">
      <c r="FG749" s="30">
        <v>774</v>
      </c>
    </row>
    <row r="750" spans="163:163">
      <c r="FG750" s="30">
        <v>775</v>
      </c>
    </row>
    <row r="751" spans="163:163">
      <c r="FG751" s="30">
        <v>776</v>
      </c>
    </row>
    <row r="752" spans="163:163">
      <c r="FG752" s="30">
        <v>777</v>
      </c>
    </row>
    <row r="753" spans="163:163">
      <c r="FG753" s="30">
        <v>778</v>
      </c>
    </row>
    <row r="754" spans="163:163">
      <c r="FG754" s="30">
        <v>779</v>
      </c>
    </row>
    <row r="755" spans="163:163">
      <c r="FG755" s="30">
        <v>780</v>
      </c>
    </row>
    <row r="756" spans="163:163">
      <c r="FG756" s="30">
        <v>781</v>
      </c>
    </row>
    <row r="757" spans="163:163">
      <c r="FG757" s="30">
        <v>782</v>
      </c>
    </row>
    <row r="758" spans="163:163">
      <c r="FG758" s="30">
        <v>783</v>
      </c>
    </row>
    <row r="759" spans="163:163">
      <c r="FG759" s="30">
        <v>784</v>
      </c>
    </row>
    <row r="760" spans="163:163">
      <c r="FG760" s="30">
        <v>785</v>
      </c>
    </row>
    <row r="761" spans="163:163">
      <c r="FG761" s="30">
        <v>786</v>
      </c>
    </row>
    <row r="762" spans="163:163">
      <c r="FG762" s="30">
        <v>787</v>
      </c>
    </row>
    <row r="763" spans="163:163">
      <c r="FG763" s="30">
        <v>788</v>
      </c>
    </row>
    <row r="764" spans="163:163">
      <c r="FG764" s="30">
        <v>789</v>
      </c>
    </row>
    <row r="765" spans="163:163">
      <c r="FG765" s="30">
        <v>790</v>
      </c>
    </row>
    <row r="766" spans="163:163">
      <c r="FG766" s="30">
        <v>791</v>
      </c>
    </row>
    <row r="767" spans="163:163">
      <c r="FG767" s="30">
        <v>792</v>
      </c>
    </row>
    <row r="768" spans="163:163">
      <c r="FG768" s="30">
        <v>793</v>
      </c>
    </row>
    <row r="769" spans="163:163">
      <c r="FG769" s="30">
        <v>794</v>
      </c>
    </row>
    <row r="770" spans="163:163">
      <c r="FG770" s="30">
        <v>795</v>
      </c>
    </row>
    <row r="771" spans="163:163">
      <c r="FG771" s="30">
        <v>796</v>
      </c>
    </row>
    <row r="772" spans="163:163">
      <c r="FG772" s="30">
        <v>797</v>
      </c>
    </row>
    <row r="773" spans="163:163">
      <c r="FG773" s="30">
        <v>798</v>
      </c>
    </row>
    <row r="774" spans="163:163">
      <c r="FG774" s="30">
        <v>799</v>
      </c>
    </row>
    <row r="775" spans="163:163">
      <c r="FG775" s="30">
        <v>800</v>
      </c>
    </row>
    <row r="776" spans="163:163">
      <c r="FG776" s="30">
        <v>801</v>
      </c>
    </row>
    <row r="777" spans="163:163">
      <c r="FG777" s="30">
        <v>802</v>
      </c>
    </row>
    <row r="778" spans="163:163">
      <c r="FG778" s="30">
        <v>803</v>
      </c>
    </row>
    <row r="779" spans="163:163">
      <c r="FG779" s="30">
        <v>804</v>
      </c>
    </row>
    <row r="780" spans="163:163">
      <c r="FG780" s="30">
        <v>805</v>
      </c>
    </row>
    <row r="781" spans="163:163">
      <c r="FG781" s="30">
        <v>806</v>
      </c>
    </row>
    <row r="782" spans="163:163">
      <c r="FG782" s="30">
        <v>807</v>
      </c>
    </row>
    <row r="783" spans="163:163">
      <c r="FG783" s="30">
        <v>808</v>
      </c>
    </row>
    <row r="784" spans="163:163">
      <c r="FG784" s="30">
        <v>809</v>
      </c>
    </row>
    <row r="785" spans="163:163">
      <c r="FG785" s="30">
        <v>810</v>
      </c>
    </row>
    <row r="786" spans="163:163">
      <c r="FG786" s="30">
        <v>811</v>
      </c>
    </row>
    <row r="787" spans="163:163">
      <c r="FG787" s="30">
        <v>812</v>
      </c>
    </row>
    <row r="788" spans="163:163">
      <c r="FG788" s="30">
        <v>813</v>
      </c>
    </row>
    <row r="789" spans="163:163">
      <c r="FG789" s="30">
        <v>814</v>
      </c>
    </row>
    <row r="790" spans="163:163">
      <c r="FG790" s="30">
        <v>815</v>
      </c>
    </row>
    <row r="791" spans="163:163">
      <c r="FG791" s="30">
        <v>816</v>
      </c>
    </row>
    <row r="792" spans="163:163">
      <c r="FG792" s="30">
        <v>817</v>
      </c>
    </row>
    <row r="793" spans="163:163">
      <c r="FG793" s="30">
        <v>818</v>
      </c>
    </row>
    <row r="794" spans="163:163">
      <c r="FG794" s="30">
        <v>819</v>
      </c>
    </row>
    <row r="795" spans="163:163">
      <c r="FG795" s="30">
        <v>820</v>
      </c>
    </row>
    <row r="796" spans="163:163">
      <c r="FG796" s="30">
        <v>821</v>
      </c>
    </row>
    <row r="797" spans="163:163">
      <c r="FG797" s="30">
        <v>822</v>
      </c>
    </row>
    <row r="798" spans="163:163">
      <c r="FG798" s="30">
        <v>823</v>
      </c>
    </row>
    <row r="799" spans="163:163">
      <c r="FG799" s="30">
        <v>824</v>
      </c>
    </row>
    <row r="800" spans="163:163">
      <c r="FG800" s="30">
        <v>825</v>
      </c>
    </row>
    <row r="801" spans="163:163">
      <c r="FG801" s="30">
        <v>826</v>
      </c>
    </row>
    <row r="802" spans="163:163">
      <c r="FG802" s="30">
        <v>827</v>
      </c>
    </row>
    <row r="803" spans="163:163">
      <c r="FG803" s="30">
        <v>828</v>
      </c>
    </row>
    <row r="804" spans="163:163">
      <c r="FG804" s="30">
        <v>829</v>
      </c>
    </row>
    <row r="805" spans="163:163">
      <c r="FG805" s="30">
        <v>830</v>
      </c>
    </row>
    <row r="806" spans="163:163">
      <c r="FG806" s="30">
        <v>831</v>
      </c>
    </row>
    <row r="807" spans="163:163">
      <c r="FG807" s="30">
        <v>832</v>
      </c>
    </row>
    <row r="808" spans="163:163">
      <c r="FG808" s="30">
        <v>833</v>
      </c>
    </row>
    <row r="809" spans="163:163">
      <c r="FG809" s="30">
        <v>834</v>
      </c>
    </row>
    <row r="810" spans="163:163">
      <c r="FG810" s="30">
        <v>835</v>
      </c>
    </row>
    <row r="811" spans="163:163">
      <c r="FG811" s="30">
        <v>836</v>
      </c>
    </row>
    <row r="812" spans="163:163">
      <c r="FG812" s="30">
        <v>837</v>
      </c>
    </row>
    <row r="813" spans="163:163">
      <c r="FG813" s="30">
        <v>838</v>
      </c>
    </row>
    <row r="814" spans="163:163">
      <c r="FG814" s="30">
        <v>839</v>
      </c>
    </row>
    <row r="815" spans="163:163">
      <c r="FG815" s="30">
        <v>840</v>
      </c>
    </row>
    <row r="816" spans="163:163">
      <c r="FG816" s="30">
        <v>841</v>
      </c>
    </row>
    <row r="817" spans="163:163">
      <c r="FG817" s="30">
        <v>842</v>
      </c>
    </row>
    <row r="818" spans="163:163">
      <c r="FG818" s="30">
        <v>843</v>
      </c>
    </row>
    <row r="819" spans="163:163">
      <c r="FG819" s="30">
        <v>844</v>
      </c>
    </row>
    <row r="820" spans="163:163">
      <c r="FG820" s="30">
        <v>845</v>
      </c>
    </row>
    <row r="821" spans="163:163">
      <c r="FG821" s="30">
        <v>846</v>
      </c>
    </row>
    <row r="822" spans="163:163">
      <c r="FG822" s="30">
        <v>847</v>
      </c>
    </row>
    <row r="823" spans="163:163">
      <c r="FG823" s="30">
        <v>848</v>
      </c>
    </row>
    <row r="824" spans="163:163">
      <c r="FG824" s="30">
        <v>849</v>
      </c>
    </row>
    <row r="825" spans="163:163">
      <c r="FG825" s="30">
        <v>850</v>
      </c>
    </row>
    <row r="826" spans="163:163">
      <c r="FG826" s="30">
        <v>851</v>
      </c>
    </row>
    <row r="827" spans="163:163">
      <c r="FG827" s="30">
        <v>852</v>
      </c>
    </row>
    <row r="828" spans="163:163">
      <c r="FG828" s="30">
        <v>853</v>
      </c>
    </row>
    <row r="829" spans="163:163">
      <c r="FG829" s="30">
        <v>854</v>
      </c>
    </row>
    <row r="830" spans="163:163">
      <c r="FG830" s="30">
        <v>855</v>
      </c>
    </row>
    <row r="831" spans="163:163">
      <c r="FG831" s="30">
        <v>856</v>
      </c>
    </row>
    <row r="832" spans="163:163">
      <c r="FG832" s="30">
        <v>857</v>
      </c>
    </row>
    <row r="833" spans="163:163">
      <c r="FG833" s="30">
        <v>858</v>
      </c>
    </row>
    <row r="834" spans="163:163">
      <c r="FG834" s="30">
        <v>859</v>
      </c>
    </row>
    <row r="835" spans="163:163">
      <c r="FG835" s="30">
        <v>860</v>
      </c>
    </row>
    <row r="836" spans="163:163">
      <c r="FG836" s="30">
        <v>861</v>
      </c>
    </row>
    <row r="837" spans="163:163">
      <c r="FG837" s="30">
        <v>862</v>
      </c>
    </row>
    <row r="838" spans="163:163">
      <c r="FG838" s="30">
        <v>863</v>
      </c>
    </row>
    <row r="839" spans="163:163">
      <c r="FG839" s="30">
        <v>864</v>
      </c>
    </row>
    <row r="840" spans="163:163">
      <c r="FG840" s="30">
        <v>865</v>
      </c>
    </row>
    <row r="841" spans="163:163">
      <c r="FG841" s="30">
        <v>866</v>
      </c>
    </row>
    <row r="842" spans="163:163">
      <c r="FG842" s="30">
        <v>867</v>
      </c>
    </row>
    <row r="843" spans="163:163">
      <c r="FG843" s="30">
        <v>868</v>
      </c>
    </row>
    <row r="844" spans="163:163">
      <c r="FG844" s="30">
        <v>869</v>
      </c>
    </row>
    <row r="845" spans="163:163">
      <c r="FG845" s="30">
        <v>870</v>
      </c>
    </row>
    <row r="846" spans="163:163">
      <c r="FG846" s="30">
        <v>871</v>
      </c>
    </row>
    <row r="847" spans="163:163">
      <c r="FG847" s="30">
        <v>872</v>
      </c>
    </row>
    <row r="848" spans="163:163">
      <c r="FG848" s="30">
        <v>873</v>
      </c>
    </row>
    <row r="849" spans="163:163">
      <c r="FG849" s="30">
        <v>874</v>
      </c>
    </row>
    <row r="850" spans="163:163">
      <c r="FG850" s="30">
        <v>875</v>
      </c>
    </row>
    <row r="851" spans="163:163">
      <c r="FG851" s="30">
        <v>876</v>
      </c>
    </row>
    <row r="852" spans="163:163">
      <c r="FG852" s="30">
        <v>877</v>
      </c>
    </row>
    <row r="853" spans="163:163">
      <c r="FG853" s="30">
        <v>878</v>
      </c>
    </row>
    <row r="854" spans="163:163">
      <c r="FG854" s="30">
        <v>879</v>
      </c>
    </row>
    <row r="855" spans="163:163">
      <c r="FG855" s="30">
        <v>880</v>
      </c>
    </row>
    <row r="856" spans="163:163">
      <c r="FG856" s="30">
        <v>881</v>
      </c>
    </row>
    <row r="857" spans="163:163">
      <c r="FG857" s="30">
        <v>882</v>
      </c>
    </row>
    <row r="858" spans="163:163">
      <c r="FG858" s="30">
        <v>883</v>
      </c>
    </row>
    <row r="859" spans="163:163">
      <c r="FG859" s="30">
        <v>884</v>
      </c>
    </row>
    <row r="860" spans="163:163">
      <c r="FG860" s="30">
        <v>885</v>
      </c>
    </row>
    <row r="861" spans="163:163">
      <c r="FG861" s="30">
        <v>886</v>
      </c>
    </row>
    <row r="862" spans="163:163">
      <c r="FG862" s="30">
        <v>887</v>
      </c>
    </row>
    <row r="863" spans="163:163">
      <c r="FG863" s="30">
        <v>888</v>
      </c>
    </row>
    <row r="864" spans="163:163">
      <c r="FG864" s="30">
        <v>889</v>
      </c>
    </row>
    <row r="865" spans="163:163">
      <c r="FG865" s="30">
        <v>890</v>
      </c>
    </row>
    <row r="866" spans="163:163">
      <c r="FG866" s="30">
        <v>891</v>
      </c>
    </row>
    <row r="867" spans="163:163">
      <c r="FG867" s="30">
        <v>892</v>
      </c>
    </row>
    <row r="868" spans="163:163">
      <c r="FG868" s="30">
        <v>893</v>
      </c>
    </row>
    <row r="869" spans="163:163">
      <c r="FG869" s="30">
        <v>894</v>
      </c>
    </row>
    <row r="870" spans="163:163">
      <c r="FG870" s="30">
        <v>895</v>
      </c>
    </row>
    <row r="871" spans="163:163">
      <c r="FG871" s="30">
        <v>896</v>
      </c>
    </row>
    <row r="872" spans="163:163">
      <c r="FG872" s="30">
        <v>897</v>
      </c>
    </row>
    <row r="873" spans="163:163">
      <c r="FG873" s="30">
        <v>898</v>
      </c>
    </row>
    <row r="874" spans="163:163">
      <c r="FG874" s="30">
        <v>899</v>
      </c>
    </row>
    <row r="875" spans="163:163">
      <c r="FG875" s="30">
        <v>900</v>
      </c>
    </row>
    <row r="876" spans="163:163">
      <c r="FG876" s="30">
        <v>901</v>
      </c>
    </row>
    <row r="877" spans="163:163">
      <c r="FG877" s="30">
        <v>902</v>
      </c>
    </row>
    <row r="878" spans="163:163">
      <c r="FG878" s="30">
        <v>903</v>
      </c>
    </row>
    <row r="879" spans="163:163">
      <c r="FG879" s="30">
        <v>904</v>
      </c>
    </row>
    <row r="880" spans="163:163">
      <c r="FG880" s="30">
        <v>905</v>
      </c>
    </row>
    <row r="881" spans="163:163">
      <c r="FG881" s="30">
        <v>906</v>
      </c>
    </row>
    <row r="882" spans="163:163">
      <c r="FG882" s="30">
        <v>907</v>
      </c>
    </row>
    <row r="883" spans="163:163">
      <c r="FG883" s="30">
        <v>908</v>
      </c>
    </row>
    <row r="884" spans="163:163">
      <c r="FG884" s="30">
        <v>909</v>
      </c>
    </row>
    <row r="885" spans="163:163">
      <c r="FG885" s="30">
        <v>910</v>
      </c>
    </row>
    <row r="886" spans="163:163">
      <c r="FG886" s="30">
        <v>911</v>
      </c>
    </row>
    <row r="887" spans="163:163">
      <c r="FG887" s="30">
        <v>912</v>
      </c>
    </row>
    <row r="888" spans="163:163">
      <c r="FG888" s="30">
        <v>913</v>
      </c>
    </row>
    <row r="889" spans="163:163">
      <c r="FG889" s="30">
        <v>914</v>
      </c>
    </row>
    <row r="890" spans="163:163">
      <c r="FG890" s="30">
        <v>915</v>
      </c>
    </row>
    <row r="891" spans="163:163">
      <c r="FG891" s="30">
        <v>916</v>
      </c>
    </row>
    <row r="892" spans="163:163">
      <c r="FG892" s="30">
        <v>917</v>
      </c>
    </row>
    <row r="893" spans="163:163">
      <c r="FG893" s="30">
        <v>918</v>
      </c>
    </row>
    <row r="894" spans="163:163">
      <c r="FG894" s="30">
        <v>919</v>
      </c>
    </row>
    <row r="895" spans="163:163">
      <c r="FG895" s="30">
        <v>920</v>
      </c>
    </row>
    <row r="896" spans="163:163">
      <c r="FG896" s="30">
        <v>921</v>
      </c>
    </row>
    <row r="897" spans="163:163">
      <c r="FG897" s="30">
        <v>922</v>
      </c>
    </row>
    <row r="898" spans="163:163">
      <c r="FG898" s="30">
        <v>923</v>
      </c>
    </row>
    <row r="899" spans="163:163">
      <c r="FG899" s="30">
        <v>924</v>
      </c>
    </row>
    <row r="900" spans="163:163">
      <c r="FG900" s="30">
        <v>925</v>
      </c>
    </row>
    <row r="901" spans="163:163">
      <c r="FG901" s="30">
        <v>926</v>
      </c>
    </row>
    <row r="902" spans="163:163">
      <c r="FG902" s="30">
        <v>927</v>
      </c>
    </row>
    <row r="903" spans="163:163">
      <c r="FG903" s="30">
        <v>928</v>
      </c>
    </row>
    <row r="904" spans="163:163">
      <c r="FG904" s="30">
        <v>929</v>
      </c>
    </row>
    <row r="905" spans="163:163">
      <c r="FG905" s="30">
        <v>930</v>
      </c>
    </row>
    <row r="906" spans="163:163">
      <c r="FG906" s="30">
        <v>931</v>
      </c>
    </row>
    <row r="907" spans="163:163">
      <c r="FG907" s="30">
        <v>932</v>
      </c>
    </row>
    <row r="908" spans="163:163">
      <c r="FG908" s="30">
        <v>933</v>
      </c>
    </row>
    <row r="909" spans="163:163">
      <c r="FG909" s="30">
        <v>934</v>
      </c>
    </row>
    <row r="910" spans="163:163">
      <c r="FG910" s="30">
        <v>935</v>
      </c>
    </row>
    <row r="911" spans="163:163">
      <c r="FG911" s="30">
        <v>936</v>
      </c>
    </row>
    <row r="912" spans="163:163">
      <c r="FG912" s="30">
        <v>937</v>
      </c>
    </row>
    <row r="913" spans="163:163">
      <c r="FG913" s="30">
        <v>938</v>
      </c>
    </row>
    <row r="914" spans="163:163">
      <c r="FG914" s="30">
        <v>939</v>
      </c>
    </row>
    <row r="915" spans="163:163">
      <c r="FG915" s="30">
        <v>940</v>
      </c>
    </row>
    <row r="916" spans="163:163">
      <c r="FG916" s="30">
        <v>941</v>
      </c>
    </row>
    <row r="917" spans="163:163">
      <c r="FG917" s="30">
        <v>942</v>
      </c>
    </row>
    <row r="918" spans="163:163">
      <c r="FG918" s="30">
        <v>943</v>
      </c>
    </row>
    <row r="919" spans="163:163">
      <c r="FG919" s="30">
        <v>944</v>
      </c>
    </row>
    <row r="920" spans="163:163">
      <c r="FG920" s="30">
        <v>945</v>
      </c>
    </row>
    <row r="921" spans="163:163">
      <c r="FG921" s="30">
        <v>946</v>
      </c>
    </row>
    <row r="922" spans="163:163">
      <c r="FG922" s="30">
        <v>947</v>
      </c>
    </row>
    <row r="923" spans="163:163">
      <c r="FG923" s="30">
        <v>948</v>
      </c>
    </row>
    <row r="924" spans="163:163">
      <c r="FG924" s="30">
        <v>949</v>
      </c>
    </row>
    <row r="925" spans="163:163">
      <c r="FG925" s="30">
        <v>950</v>
      </c>
    </row>
    <row r="926" spans="163:163">
      <c r="FG926" s="30">
        <v>951</v>
      </c>
    </row>
    <row r="927" spans="163:163">
      <c r="FG927" s="30">
        <v>952</v>
      </c>
    </row>
    <row r="928" spans="163:163">
      <c r="FG928" s="30">
        <v>953</v>
      </c>
    </row>
    <row r="929" spans="163:163">
      <c r="FG929" s="30">
        <v>954</v>
      </c>
    </row>
    <row r="930" spans="163:163">
      <c r="FG930" s="30">
        <v>955</v>
      </c>
    </row>
    <row r="931" spans="163:163">
      <c r="FG931" s="30">
        <v>956</v>
      </c>
    </row>
    <row r="932" spans="163:163">
      <c r="FG932" s="30">
        <v>957</v>
      </c>
    </row>
    <row r="933" spans="163:163">
      <c r="FG933" s="30">
        <v>958</v>
      </c>
    </row>
    <row r="934" spans="163:163">
      <c r="FG934" s="30">
        <v>959</v>
      </c>
    </row>
    <row r="935" spans="163:163">
      <c r="FG935" s="30">
        <v>960</v>
      </c>
    </row>
    <row r="936" spans="163:163">
      <c r="FG936" s="30">
        <v>961</v>
      </c>
    </row>
    <row r="937" spans="163:163">
      <c r="FG937" s="30">
        <v>962</v>
      </c>
    </row>
    <row r="938" spans="163:163">
      <c r="FG938" s="30">
        <v>963</v>
      </c>
    </row>
    <row r="939" spans="163:163">
      <c r="FG939" s="30">
        <v>964</v>
      </c>
    </row>
    <row r="940" spans="163:163">
      <c r="FG940" s="30">
        <v>965</v>
      </c>
    </row>
    <row r="941" spans="163:163">
      <c r="FG941" s="30">
        <v>966</v>
      </c>
    </row>
    <row r="942" spans="163:163">
      <c r="FG942" s="30">
        <v>967</v>
      </c>
    </row>
    <row r="943" spans="163:163">
      <c r="FG943" s="30">
        <v>968</v>
      </c>
    </row>
    <row r="944" spans="163:163">
      <c r="FG944" s="30">
        <v>969</v>
      </c>
    </row>
    <row r="945" spans="163:163">
      <c r="FG945" s="30">
        <v>970</v>
      </c>
    </row>
    <row r="946" spans="163:163">
      <c r="FG946" s="30">
        <v>971</v>
      </c>
    </row>
    <row r="947" spans="163:163">
      <c r="FG947" s="30">
        <v>972</v>
      </c>
    </row>
    <row r="948" spans="163:163">
      <c r="FG948" s="30">
        <v>973</v>
      </c>
    </row>
    <row r="949" spans="163:163">
      <c r="FG949" s="30">
        <v>974</v>
      </c>
    </row>
    <row r="950" spans="163:163">
      <c r="FG950" s="30">
        <v>975</v>
      </c>
    </row>
    <row r="951" spans="163:163">
      <c r="FG951" s="30">
        <v>976</v>
      </c>
    </row>
    <row r="952" spans="163:163">
      <c r="FG952" s="30">
        <v>977</v>
      </c>
    </row>
    <row r="953" spans="163:163">
      <c r="FG953" s="30">
        <v>978</v>
      </c>
    </row>
    <row r="954" spans="163:163">
      <c r="FG954" s="30">
        <v>979</v>
      </c>
    </row>
    <row r="955" spans="163:163">
      <c r="FG955" s="30">
        <v>980</v>
      </c>
    </row>
    <row r="956" spans="163:163">
      <c r="FG956" s="30">
        <v>981</v>
      </c>
    </row>
    <row r="957" spans="163:163">
      <c r="FG957" s="30">
        <v>982</v>
      </c>
    </row>
    <row r="958" spans="163:163">
      <c r="FG958" s="30">
        <v>983</v>
      </c>
    </row>
    <row r="959" spans="163:163">
      <c r="FG959" s="30">
        <v>984</v>
      </c>
    </row>
    <row r="960" spans="163:163">
      <c r="FG960" s="30">
        <v>985</v>
      </c>
    </row>
    <row r="961" spans="163:163">
      <c r="FG961" s="30">
        <v>986</v>
      </c>
    </row>
    <row r="962" spans="163:163">
      <c r="FG962" s="30">
        <v>987</v>
      </c>
    </row>
    <row r="963" spans="163:163">
      <c r="FG963" s="30">
        <v>988</v>
      </c>
    </row>
    <row r="964" spans="163:163">
      <c r="FG964" s="30">
        <v>989</v>
      </c>
    </row>
    <row r="965" spans="163:163">
      <c r="FG965" s="30">
        <v>990</v>
      </c>
    </row>
    <row r="966" spans="163:163">
      <c r="FG966" s="30">
        <v>991</v>
      </c>
    </row>
    <row r="967" spans="163:163">
      <c r="FG967" s="30">
        <v>992</v>
      </c>
    </row>
    <row r="968" spans="163:163">
      <c r="FG968" s="30">
        <v>993</v>
      </c>
    </row>
    <row r="969" spans="163:163">
      <c r="FG969" s="30">
        <v>994</v>
      </c>
    </row>
    <row r="970" spans="163:163">
      <c r="FG970" s="30">
        <v>995</v>
      </c>
    </row>
    <row r="971" spans="163:163">
      <c r="FG971" s="30">
        <v>996</v>
      </c>
    </row>
    <row r="972" spans="163:163">
      <c r="FG972" s="30">
        <v>997</v>
      </c>
    </row>
    <row r="973" spans="163:163">
      <c r="FG973" s="30">
        <v>998</v>
      </c>
    </row>
    <row r="974" spans="163:163">
      <c r="FG974" s="30">
        <v>999</v>
      </c>
    </row>
    <row r="975" spans="163:163">
      <c r="FG975" s="30">
        <v>1000</v>
      </c>
    </row>
    <row r="976" spans="163:163">
      <c r="FG976" s="30">
        <v>1001</v>
      </c>
    </row>
    <row r="977" spans="163:163">
      <c r="FG977" s="30">
        <v>1002</v>
      </c>
    </row>
    <row r="978" spans="163:163">
      <c r="FG978" s="30">
        <v>1003</v>
      </c>
    </row>
    <row r="979" spans="163:163">
      <c r="FG979" s="30">
        <v>1004</v>
      </c>
    </row>
    <row r="980" spans="163:163">
      <c r="FG980" s="30">
        <v>1005</v>
      </c>
    </row>
    <row r="981" spans="163:163">
      <c r="FG981" s="30">
        <v>1006</v>
      </c>
    </row>
    <row r="982" spans="163:163">
      <c r="FG982" s="30">
        <v>1007</v>
      </c>
    </row>
    <row r="983" spans="163:163">
      <c r="FG983" s="30">
        <v>1008</v>
      </c>
    </row>
    <row r="984" spans="163:163">
      <c r="FG984" s="30">
        <v>1009</v>
      </c>
    </row>
    <row r="985" spans="163:163">
      <c r="FG985" s="30">
        <v>1010</v>
      </c>
    </row>
    <row r="986" spans="163:163">
      <c r="FG986" s="30">
        <v>1011</v>
      </c>
    </row>
    <row r="987" spans="163:163">
      <c r="FG987" s="30">
        <v>1012</v>
      </c>
    </row>
    <row r="988" spans="163:163">
      <c r="FG988" s="30">
        <v>1013</v>
      </c>
    </row>
    <row r="989" spans="163:163">
      <c r="FG989" s="30">
        <v>1014</v>
      </c>
    </row>
    <row r="990" spans="163:163">
      <c r="FG990" s="30">
        <v>1015</v>
      </c>
    </row>
    <row r="991" spans="163:163">
      <c r="FG991" s="30">
        <v>1016</v>
      </c>
    </row>
    <row r="992" spans="163:163">
      <c r="FG992" s="30">
        <v>1017</v>
      </c>
    </row>
    <row r="993" spans="163:163">
      <c r="FG993" s="30">
        <v>1018</v>
      </c>
    </row>
    <row r="994" spans="163:163">
      <c r="FG994" s="30">
        <v>1019</v>
      </c>
    </row>
    <row r="995" spans="163:163">
      <c r="FG995" s="30">
        <v>1020</v>
      </c>
    </row>
    <row r="996" spans="163:163">
      <c r="FG996" s="30">
        <v>1021</v>
      </c>
    </row>
    <row r="997" spans="163:163">
      <c r="FG997" s="30">
        <v>1022</v>
      </c>
    </row>
    <row r="998" spans="163:163">
      <c r="FG998" s="30">
        <v>1023</v>
      </c>
    </row>
    <row r="999" spans="163:163">
      <c r="FG999" s="30">
        <v>1024</v>
      </c>
    </row>
    <row r="1000" spans="163:163">
      <c r="FG1000" s="30">
        <v>1025</v>
      </c>
    </row>
    <row r="1001" spans="163:163">
      <c r="FG1001" s="30">
        <v>1026</v>
      </c>
    </row>
    <row r="1002" spans="163:163">
      <c r="FG1002" s="30">
        <v>1027</v>
      </c>
    </row>
    <row r="1003" spans="163:163">
      <c r="FG1003" s="30">
        <v>1028</v>
      </c>
    </row>
    <row r="1004" spans="163:163">
      <c r="FG1004" s="30">
        <v>1029</v>
      </c>
    </row>
    <row r="1005" spans="163:163">
      <c r="FG1005" s="30">
        <v>1030</v>
      </c>
    </row>
    <row r="1006" spans="163:163">
      <c r="FG1006" s="30">
        <v>1031</v>
      </c>
    </row>
    <row r="1007" spans="163:163">
      <c r="FG1007" s="30">
        <v>1032</v>
      </c>
    </row>
    <row r="1008" spans="163:163">
      <c r="FG1008" s="30">
        <v>1033</v>
      </c>
    </row>
    <row r="1009" spans="163:163">
      <c r="FG1009" s="30">
        <v>1034</v>
      </c>
    </row>
    <row r="1010" spans="163:163">
      <c r="FG1010" s="30">
        <v>1035</v>
      </c>
    </row>
    <row r="1011" spans="163:163">
      <c r="FG1011" s="30">
        <v>1036</v>
      </c>
    </row>
    <row r="1012" spans="163:163">
      <c r="FG1012" s="30">
        <v>1037</v>
      </c>
    </row>
    <row r="1013" spans="163:163">
      <c r="FG1013" s="30">
        <v>1038</v>
      </c>
    </row>
    <row r="1014" spans="163:163">
      <c r="FG1014" s="30">
        <v>1039</v>
      </c>
    </row>
    <row r="1015" spans="163:163">
      <c r="FG1015" s="30">
        <v>1040</v>
      </c>
    </row>
    <row r="1016" spans="163:163">
      <c r="FG1016" s="30">
        <v>1041</v>
      </c>
    </row>
    <row r="1017" spans="163:163">
      <c r="FG1017" s="30">
        <v>1042</v>
      </c>
    </row>
    <row r="1018" spans="163:163">
      <c r="FG1018" s="30">
        <v>1043</v>
      </c>
    </row>
    <row r="1019" spans="163:163">
      <c r="FG1019" s="30">
        <v>1044</v>
      </c>
    </row>
    <row r="1020" spans="163:163">
      <c r="FG1020" s="30">
        <v>1045</v>
      </c>
    </row>
    <row r="1021" spans="163:163">
      <c r="FG1021" s="30">
        <v>1046</v>
      </c>
    </row>
    <row r="1022" spans="163:163">
      <c r="FG1022" s="30">
        <v>1047</v>
      </c>
    </row>
    <row r="1023" spans="163:163">
      <c r="FG1023" s="30">
        <v>1048</v>
      </c>
    </row>
    <row r="1024" spans="163:163">
      <c r="FG1024" s="30">
        <v>1049</v>
      </c>
    </row>
    <row r="1025" spans="163:163">
      <c r="FG1025" s="30">
        <v>1050</v>
      </c>
    </row>
    <row r="1026" spans="163:163">
      <c r="FG1026" s="30">
        <v>1051</v>
      </c>
    </row>
    <row r="1027" spans="163:163">
      <c r="FG1027" s="30">
        <v>1052</v>
      </c>
    </row>
    <row r="1028" spans="163:163">
      <c r="FG1028" s="30">
        <v>1053</v>
      </c>
    </row>
    <row r="1029" spans="163:163">
      <c r="FG1029" s="30">
        <v>1054</v>
      </c>
    </row>
    <row r="1030" spans="163:163">
      <c r="FG1030" s="30">
        <v>1055</v>
      </c>
    </row>
    <row r="1031" spans="163:163">
      <c r="FG1031" s="30">
        <v>1056</v>
      </c>
    </row>
    <row r="1032" spans="163:163">
      <c r="FG1032" s="30">
        <v>1057</v>
      </c>
    </row>
    <row r="1033" spans="163:163">
      <c r="FG1033" s="30">
        <v>1058</v>
      </c>
    </row>
    <row r="1034" spans="163:163">
      <c r="FG1034" s="30">
        <v>1059</v>
      </c>
    </row>
    <row r="1035" spans="163:163">
      <c r="FG1035" s="30">
        <v>1060</v>
      </c>
    </row>
    <row r="1036" spans="163:163">
      <c r="FG1036" s="30">
        <v>1061</v>
      </c>
    </row>
    <row r="1037" spans="163:163">
      <c r="FG1037" s="30">
        <v>1062</v>
      </c>
    </row>
    <row r="1038" spans="163:163">
      <c r="FG1038" s="30">
        <v>1063</v>
      </c>
    </row>
    <row r="1039" spans="163:163">
      <c r="FG1039" s="30">
        <v>1064</v>
      </c>
    </row>
    <row r="1040" spans="163:163">
      <c r="FG1040" s="30">
        <v>1065</v>
      </c>
    </row>
    <row r="1041" spans="163:163">
      <c r="FG1041" s="30">
        <v>1066</v>
      </c>
    </row>
    <row r="1042" spans="163:163">
      <c r="FG1042" s="30">
        <v>1067</v>
      </c>
    </row>
    <row r="1043" spans="163:163">
      <c r="FG1043" s="30">
        <v>1068</v>
      </c>
    </row>
    <row r="1044" spans="163:163">
      <c r="FG1044" s="30">
        <v>1069</v>
      </c>
    </row>
    <row r="1045" spans="163:163">
      <c r="FG1045" s="30">
        <v>1070</v>
      </c>
    </row>
    <row r="1046" spans="163:163">
      <c r="FG1046" s="30">
        <v>1071</v>
      </c>
    </row>
    <row r="1047" spans="163:163">
      <c r="FG1047" s="30">
        <v>1072</v>
      </c>
    </row>
    <row r="1048" spans="163:163">
      <c r="FG1048" s="30">
        <v>1073</v>
      </c>
    </row>
    <row r="1049" spans="163:163">
      <c r="FG1049" s="30">
        <v>1074</v>
      </c>
    </row>
    <row r="1050" spans="163:163">
      <c r="FG1050" s="30">
        <v>1075</v>
      </c>
    </row>
    <row r="1051" spans="163:163">
      <c r="FG1051" s="30">
        <v>1076</v>
      </c>
    </row>
    <row r="1052" spans="163:163">
      <c r="FG1052" s="30">
        <v>1077</v>
      </c>
    </row>
    <row r="1053" spans="163:163">
      <c r="FG1053" s="30">
        <v>1078</v>
      </c>
    </row>
    <row r="1054" spans="163:163">
      <c r="FG1054" s="30">
        <v>1079</v>
      </c>
    </row>
    <row r="1055" spans="163:163">
      <c r="FG1055" s="30">
        <v>1080</v>
      </c>
    </row>
    <row r="1056" spans="163:163">
      <c r="FG1056" s="30">
        <v>1081</v>
      </c>
    </row>
    <row r="1057" spans="163:163">
      <c r="FG1057" s="30">
        <v>1082</v>
      </c>
    </row>
    <row r="1058" spans="163:163">
      <c r="FG1058" s="30">
        <v>1083</v>
      </c>
    </row>
    <row r="1059" spans="163:163">
      <c r="FG1059" s="30">
        <v>1084</v>
      </c>
    </row>
    <row r="1060" spans="163:163">
      <c r="FG1060" s="30">
        <v>1085</v>
      </c>
    </row>
    <row r="1061" spans="163:163">
      <c r="FG1061" s="30">
        <v>1086</v>
      </c>
    </row>
    <row r="1062" spans="163:163">
      <c r="FG1062" s="30">
        <v>1087</v>
      </c>
    </row>
    <row r="1063" spans="163:163">
      <c r="FG1063" s="30">
        <v>1088</v>
      </c>
    </row>
    <row r="1064" spans="163:163">
      <c r="FG1064" s="30">
        <v>1089</v>
      </c>
    </row>
    <row r="1065" spans="163:163">
      <c r="FG1065" s="30">
        <v>1090</v>
      </c>
    </row>
    <row r="1066" spans="163:163">
      <c r="FG1066" s="30">
        <v>1091</v>
      </c>
    </row>
    <row r="1067" spans="163:163">
      <c r="FG1067" s="30">
        <v>1092</v>
      </c>
    </row>
    <row r="1068" spans="163:163">
      <c r="FG1068" s="30">
        <v>1093</v>
      </c>
    </row>
    <row r="1069" spans="163:163">
      <c r="FG1069" s="30">
        <v>1094</v>
      </c>
    </row>
    <row r="1070" spans="163:163">
      <c r="FG1070" s="30">
        <v>1095</v>
      </c>
    </row>
    <row r="1071" spans="163:163">
      <c r="FG1071" s="30">
        <v>1096</v>
      </c>
    </row>
    <row r="1072" spans="163:163">
      <c r="FG1072" s="30">
        <v>1097</v>
      </c>
    </row>
    <row r="1073" spans="163:163">
      <c r="FG1073" s="30">
        <v>1098</v>
      </c>
    </row>
    <row r="1074" spans="163:163">
      <c r="FG1074" s="30">
        <v>1099</v>
      </c>
    </row>
    <row r="1075" spans="163:163">
      <c r="FG1075" s="30">
        <v>1100</v>
      </c>
    </row>
    <row r="1076" spans="163:163">
      <c r="FG1076" s="30">
        <v>1101</v>
      </c>
    </row>
    <row r="1077" spans="163:163">
      <c r="FG1077" s="30">
        <v>1102</v>
      </c>
    </row>
    <row r="1078" spans="163:163">
      <c r="FG1078" s="30">
        <v>1103</v>
      </c>
    </row>
    <row r="1079" spans="163:163">
      <c r="FG1079" s="30">
        <v>1104</v>
      </c>
    </row>
    <row r="1080" spans="163:163">
      <c r="FG1080" s="30">
        <v>1105</v>
      </c>
    </row>
    <row r="1081" spans="163:163">
      <c r="FG1081" s="30">
        <v>1106</v>
      </c>
    </row>
    <row r="1082" spans="163:163">
      <c r="FG1082" s="30">
        <v>1107</v>
      </c>
    </row>
    <row r="1083" spans="163:163">
      <c r="FG1083" s="30">
        <v>1108</v>
      </c>
    </row>
    <row r="1084" spans="163:163">
      <c r="FG1084" s="30">
        <v>1109</v>
      </c>
    </row>
    <row r="1085" spans="163:163">
      <c r="FG1085" s="30">
        <v>1110</v>
      </c>
    </row>
    <row r="1086" spans="163:163">
      <c r="FG1086" s="30">
        <v>1111</v>
      </c>
    </row>
    <row r="1087" spans="163:163">
      <c r="FG1087" s="30">
        <v>1112</v>
      </c>
    </row>
    <row r="1088" spans="163:163">
      <c r="FG1088" s="30">
        <v>1113</v>
      </c>
    </row>
    <row r="1089" spans="163:163">
      <c r="FG1089" s="30">
        <v>1114</v>
      </c>
    </row>
    <row r="1090" spans="163:163">
      <c r="FG1090" s="30">
        <v>1115</v>
      </c>
    </row>
    <row r="1091" spans="163:163">
      <c r="FG1091" s="30">
        <v>1116</v>
      </c>
    </row>
    <row r="1092" spans="163:163">
      <c r="FG1092" s="30">
        <v>1117</v>
      </c>
    </row>
    <row r="1093" spans="163:163">
      <c r="FG1093" s="30">
        <v>1118</v>
      </c>
    </row>
    <row r="1094" spans="163:163">
      <c r="FG1094" s="30">
        <v>1119</v>
      </c>
    </row>
    <row r="1095" spans="163:163">
      <c r="FG1095" s="30">
        <v>1120</v>
      </c>
    </row>
    <row r="1096" spans="163:163">
      <c r="FG1096" s="30">
        <v>1121</v>
      </c>
    </row>
    <row r="1097" spans="163:163">
      <c r="FG1097" s="30">
        <v>1122</v>
      </c>
    </row>
    <row r="1098" spans="163:163">
      <c r="FG1098" s="30">
        <v>1123</v>
      </c>
    </row>
    <row r="1099" spans="163:163">
      <c r="FG1099" s="30">
        <v>1124</v>
      </c>
    </row>
    <row r="1100" spans="163:163">
      <c r="FG1100" s="30">
        <v>1125</v>
      </c>
    </row>
    <row r="1101" spans="163:163">
      <c r="FG1101" s="30">
        <v>1126</v>
      </c>
    </row>
    <row r="1102" spans="163:163">
      <c r="FG1102" s="30">
        <v>1127</v>
      </c>
    </row>
    <row r="1103" spans="163:163">
      <c r="FG1103" s="30">
        <v>1128</v>
      </c>
    </row>
    <row r="1104" spans="163:163">
      <c r="FG1104" s="30">
        <v>1129</v>
      </c>
    </row>
    <row r="1105" spans="163:163">
      <c r="FG1105" s="30">
        <v>1130</v>
      </c>
    </row>
    <row r="1106" spans="163:163">
      <c r="FG1106" s="30">
        <v>1131</v>
      </c>
    </row>
    <row r="1107" spans="163:163">
      <c r="FG1107" s="30">
        <v>1132</v>
      </c>
    </row>
    <row r="1108" spans="163:163">
      <c r="FG1108" s="30">
        <v>1133</v>
      </c>
    </row>
    <row r="1109" spans="163:163">
      <c r="FG1109" s="30">
        <v>1134</v>
      </c>
    </row>
    <row r="1110" spans="163:163">
      <c r="FG1110" s="30">
        <v>1135</v>
      </c>
    </row>
    <row r="1111" spans="163:163">
      <c r="FG1111" s="30">
        <v>1136</v>
      </c>
    </row>
    <row r="1112" spans="163:163">
      <c r="FG1112" s="30">
        <v>1137</v>
      </c>
    </row>
    <row r="1113" spans="163:163">
      <c r="FG1113" s="30">
        <v>1138</v>
      </c>
    </row>
    <row r="1114" spans="163:163">
      <c r="FG1114" s="30">
        <v>1139</v>
      </c>
    </row>
    <row r="1115" spans="163:163">
      <c r="FG1115" s="30">
        <v>1140</v>
      </c>
    </row>
    <row r="1116" spans="163:163">
      <c r="FG1116" s="30">
        <v>1141</v>
      </c>
    </row>
    <row r="1117" spans="163:163">
      <c r="FG1117" s="30">
        <v>1142</v>
      </c>
    </row>
    <row r="1118" spans="163:163">
      <c r="FG1118" s="30">
        <v>1143</v>
      </c>
    </row>
    <row r="1119" spans="163:163">
      <c r="FG1119" s="30">
        <v>1144</v>
      </c>
    </row>
    <row r="1120" spans="163:163">
      <c r="FG1120" s="30">
        <v>1145</v>
      </c>
    </row>
    <row r="1121" spans="163:163">
      <c r="FG1121" s="30">
        <v>1146</v>
      </c>
    </row>
    <row r="1122" spans="163:163">
      <c r="FG1122" s="30">
        <v>1147</v>
      </c>
    </row>
    <row r="1123" spans="163:163">
      <c r="FG1123" s="30">
        <v>1148</v>
      </c>
    </row>
    <row r="1124" spans="163:163">
      <c r="FG1124" s="30">
        <v>1149</v>
      </c>
    </row>
    <row r="1125" spans="163:163">
      <c r="FG1125" s="30">
        <v>1150</v>
      </c>
    </row>
    <row r="1126" spans="163:163">
      <c r="FG1126" s="30">
        <v>1151</v>
      </c>
    </row>
    <row r="1127" spans="163:163">
      <c r="FG1127" s="30">
        <v>1152</v>
      </c>
    </row>
    <row r="1128" spans="163:163">
      <c r="FG1128" s="30">
        <v>1153</v>
      </c>
    </row>
    <row r="1129" spans="163:163">
      <c r="FG1129" s="30">
        <v>1154</v>
      </c>
    </row>
    <row r="1130" spans="163:163">
      <c r="FG1130" s="30">
        <v>1155</v>
      </c>
    </row>
    <row r="1131" spans="163:163">
      <c r="FG1131" s="30">
        <v>1156</v>
      </c>
    </row>
    <row r="1132" spans="163:163">
      <c r="FG1132" s="30">
        <v>1157</v>
      </c>
    </row>
    <row r="1133" spans="163:163">
      <c r="FG1133" s="30">
        <v>1158</v>
      </c>
    </row>
    <row r="1134" spans="163:163">
      <c r="FG1134" s="30">
        <v>1159</v>
      </c>
    </row>
    <row r="1135" spans="163:163">
      <c r="FG1135" s="30">
        <v>1160</v>
      </c>
    </row>
    <row r="1136" spans="163:163">
      <c r="FG1136" s="30">
        <v>1161</v>
      </c>
    </row>
    <row r="1137" spans="163:163">
      <c r="FG1137" s="30">
        <v>1162</v>
      </c>
    </row>
    <row r="1138" spans="163:163">
      <c r="FG1138" s="30">
        <v>1163</v>
      </c>
    </row>
    <row r="1139" spans="163:163">
      <c r="FG1139" s="30">
        <v>1164</v>
      </c>
    </row>
    <row r="1140" spans="163:163">
      <c r="FG1140" s="30">
        <v>1165</v>
      </c>
    </row>
    <row r="1141" spans="163:163">
      <c r="FG1141" s="30">
        <v>1166</v>
      </c>
    </row>
    <row r="1142" spans="163:163">
      <c r="FG1142" s="30">
        <v>1167</v>
      </c>
    </row>
    <row r="1143" spans="163:163">
      <c r="FG1143" s="30">
        <v>1168</v>
      </c>
    </row>
    <row r="1144" spans="163:163">
      <c r="FG1144" s="30">
        <v>1169</v>
      </c>
    </row>
    <row r="1145" spans="163:163">
      <c r="FG1145" s="30">
        <v>1170</v>
      </c>
    </row>
    <row r="1146" spans="163:163">
      <c r="FG1146" s="30">
        <v>1171</v>
      </c>
    </row>
    <row r="1147" spans="163:163">
      <c r="FG1147" s="30">
        <v>1172</v>
      </c>
    </row>
    <row r="1148" spans="163:163">
      <c r="FG1148" s="30">
        <v>1173</v>
      </c>
    </row>
    <row r="1149" spans="163:163">
      <c r="FG1149" s="30">
        <v>1174</v>
      </c>
    </row>
    <row r="1150" spans="163:163">
      <c r="FG1150" s="30">
        <v>1175</v>
      </c>
    </row>
    <row r="1151" spans="163:163">
      <c r="FG1151" s="30">
        <v>1176</v>
      </c>
    </row>
    <row r="1152" spans="163:163">
      <c r="FG1152" s="30">
        <v>1177</v>
      </c>
    </row>
    <row r="1153" spans="163:163">
      <c r="FG1153" s="30">
        <v>1178</v>
      </c>
    </row>
    <row r="1154" spans="163:163">
      <c r="FG1154" s="30">
        <v>1179</v>
      </c>
    </row>
    <row r="1155" spans="163:163">
      <c r="FG1155" s="30">
        <v>1180</v>
      </c>
    </row>
    <row r="1156" spans="163:163">
      <c r="FG1156" s="30">
        <v>1181</v>
      </c>
    </row>
    <row r="1157" spans="163:163">
      <c r="FG1157" s="30">
        <v>1182</v>
      </c>
    </row>
    <row r="1158" spans="163:163">
      <c r="FG1158" s="30">
        <v>1183</v>
      </c>
    </row>
    <row r="1159" spans="163:163">
      <c r="FG1159" s="30">
        <v>1184</v>
      </c>
    </row>
    <row r="1160" spans="163:163">
      <c r="FG1160" s="30">
        <v>1185</v>
      </c>
    </row>
    <row r="1161" spans="163:163">
      <c r="FG1161" s="30">
        <v>1186</v>
      </c>
    </row>
    <row r="1162" spans="163:163">
      <c r="FG1162" s="30">
        <v>1187</v>
      </c>
    </row>
    <row r="1163" spans="163:163">
      <c r="FG1163" s="30">
        <v>1188</v>
      </c>
    </row>
    <row r="1164" spans="163:163">
      <c r="FG1164" s="30">
        <v>1189</v>
      </c>
    </row>
    <row r="1165" spans="163:163">
      <c r="FG1165" s="30">
        <v>1190</v>
      </c>
    </row>
    <row r="1166" spans="163:163">
      <c r="FG1166" s="30">
        <v>1191</v>
      </c>
    </row>
    <row r="1167" spans="163:163">
      <c r="FG1167" s="30">
        <v>1192</v>
      </c>
    </row>
    <row r="1168" spans="163:163">
      <c r="FG1168" s="30">
        <v>1193</v>
      </c>
    </row>
    <row r="1169" spans="163:163">
      <c r="FG1169" s="30">
        <v>1194</v>
      </c>
    </row>
    <row r="1170" spans="163:163">
      <c r="FG1170" s="30">
        <v>1195</v>
      </c>
    </row>
    <row r="1171" spans="163:163">
      <c r="FG1171" s="30">
        <v>1196</v>
      </c>
    </row>
    <row r="1172" spans="163:163">
      <c r="FG1172" s="30">
        <v>1197</v>
      </c>
    </row>
    <row r="1173" spans="163:163">
      <c r="FG1173" s="30">
        <v>1198</v>
      </c>
    </row>
    <row r="1174" spans="163:163">
      <c r="FG1174" s="30">
        <v>1199</v>
      </c>
    </row>
    <row r="1175" spans="163:163">
      <c r="FG1175" s="30">
        <v>1200</v>
      </c>
    </row>
  </sheetData>
  <mergeCells count="502">
    <mergeCell ref="A2:F2"/>
    <mergeCell ref="G2:W2"/>
    <mergeCell ref="A6:D6"/>
    <mergeCell ref="N3:P3"/>
    <mergeCell ref="H5:J5"/>
    <mergeCell ref="K5:M5"/>
    <mergeCell ref="N5:P5"/>
    <mergeCell ref="Z6:AB6"/>
    <mergeCell ref="H3:J3"/>
    <mergeCell ref="K3:M3"/>
    <mergeCell ref="N4:P4"/>
    <mergeCell ref="Q4:S4"/>
    <mergeCell ref="T4:V4"/>
    <mergeCell ref="W4:Y4"/>
    <mergeCell ref="Z4:AB4"/>
    <mergeCell ref="K6:M6"/>
    <mergeCell ref="N6:P6"/>
    <mergeCell ref="Q6:S6"/>
    <mergeCell ref="T6:V6"/>
    <mergeCell ref="W6:Y6"/>
    <mergeCell ref="A10:D10"/>
    <mergeCell ref="Q3:S3"/>
    <mergeCell ref="T3:V3"/>
    <mergeCell ref="W3:Y3"/>
    <mergeCell ref="BM3:BO3"/>
    <mergeCell ref="BP3:BR3"/>
    <mergeCell ref="AI3:AK3"/>
    <mergeCell ref="AL3:AN3"/>
    <mergeCell ref="AO3:AQ3"/>
    <mergeCell ref="AR3:AT3"/>
    <mergeCell ref="AU3:AW3"/>
    <mergeCell ref="AX3:AZ3"/>
    <mergeCell ref="AO8:AQ8"/>
    <mergeCell ref="AI8:AK8"/>
    <mergeCell ref="AL8:AN8"/>
    <mergeCell ref="AF4:AH4"/>
    <mergeCell ref="AI4:AK4"/>
    <mergeCell ref="AC6:AE6"/>
    <mergeCell ref="AO6:AQ6"/>
    <mergeCell ref="H10:J10"/>
    <mergeCell ref="Z3:AB3"/>
    <mergeCell ref="A3:D3"/>
    <mergeCell ref="H4:J4"/>
    <mergeCell ref="K4:M4"/>
    <mergeCell ref="BS3:BU3"/>
    <mergeCell ref="BA3:BC3"/>
    <mergeCell ref="BD3:BF3"/>
    <mergeCell ref="BG3:BI3"/>
    <mergeCell ref="A4:D4"/>
    <mergeCell ref="E4:G4"/>
    <mergeCell ref="E3:G3"/>
    <mergeCell ref="BY4:CA4"/>
    <mergeCell ref="CB4:CD4"/>
    <mergeCell ref="AU4:AW4"/>
    <mergeCell ref="AX4:AZ4"/>
    <mergeCell ref="BA4:BC4"/>
    <mergeCell ref="BD4:BF4"/>
    <mergeCell ref="BG4:BI4"/>
    <mergeCell ref="BM4:BO4"/>
    <mergeCell ref="BP4:BR4"/>
    <mergeCell ref="BS4:BU4"/>
    <mergeCell ref="AL4:AN4"/>
    <mergeCell ref="AO4:AQ4"/>
    <mergeCell ref="AC4:AE4"/>
    <mergeCell ref="AC3:AE3"/>
    <mergeCell ref="AF3:AH3"/>
    <mergeCell ref="CK3:CM3"/>
    <mergeCell ref="CN3:CP3"/>
    <mergeCell ref="BV3:BX3"/>
    <mergeCell ref="BY3:CA3"/>
    <mergeCell ref="CB3:CD3"/>
    <mergeCell ref="CE3:CG3"/>
    <mergeCell ref="CH3:CJ3"/>
    <mergeCell ref="CE4:CG4"/>
    <mergeCell ref="CH4:CJ4"/>
    <mergeCell ref="BV4:BX4"/>
    <mergeCell ref="CN4:CP4"/>
    <mergeCell ref="CK4:CM4"/>
    <mergeCell ref="AR10:AT10"/>
    <mergeCell ref="AU10:AW10"/>
    <mergeCell ref="AX10:AZ10"/>
    <mergeCell ref="BA10:BC10"/>
    <mergeCell ref="BD10:BF10"/>
    <mergeCell ref="BG10:BI10"/>
    <mergeCell ref="Z10:AB10"/>
    <mergeCell ref="CB10:CD10"/>
    <mergeCell ref="CE10:CG10"/>
    <mergeCell ref="AC5:AE5"/>
    <mergeCell ref="AF5:AH5"/>
    <mergeCell ref="AI5:AK5"/>
    <mergeCell ref="AC7:AE7"/>
    <mergeCell ref="AL10:AN10"/>
    <mergeCell ref="AO10:AQ10"/>
    <mergeCell ref="AF6:AH6"/>
    <mergeCell ref="AC8:AE8"/>
    <mergeCell ref="AF8:AH8"/>
    <mergeCell ref="AI6:AK6"/>
    <mergeCell ref="AL6:AN6"/>
    <mergeCell ref="AL5:AN5"/>
    <mergeCell ref="AO5:AQ5"/>
    <mergeCell ref="AL7:AN7"/>
    <mergeCell ref="AO7:AQ7"/>
    <mergeCell ref="AI7:AK7"/>
    <mergeCell ref="AC10:AE10"/>
    <mergeCell ref="AF10:AH10"/>
    <mergeCell ref="AI10:AK10"/>
    <mergeCell ref="AC9:AE9"/>
    <mergeCell ref="AF9:AH9"/>
    <mergeCell ref="AI9:AK9"/>
    <mergeCell ref="AL9:AN9"/>
    <mergeCell ref="AO9:AQ9"/>
    <mergeCell ref="BM5:BO5"/>
    <mergeCell ref="BP5:BR5"/>
    <mergeCell ref="BS5:BU5"/>
    <mergeCell ref="BV5:BX5"/>
    <mergeCell ref="BY5:CA5"/>
    <mergeCell ref="BG7:BI7"/>
    <mergeCell ref="BJ7:BL7"/>
    <mergeCell ref="BM7:BO7"/>
    <mergeCell ref="BP7:BR7"/>
    <mergeCell ref="BS7:BU7"/>
    <mergeCell ref="BV7:BX7"/>
    <mergeCell ref="BY7:CA7"/>
    <mergeCell ref="BY6:CA6"/>
    <mergeCell ref="BM6:BO6"/>
    <mergeCell ref="BP6:BR6"/>
    <mergeCell ref="BS6:BU6"/>
    <mergeCell ref="BV6:BX6"/>
    <mergeCell ref="BG6:BI6"/>
    <mergeCell ref="AR5:AT5"/>
    <mergeCell ref="AU5:AW5"/>
    <mergeCell ref="AU7:AW7"/>
    <mergeCell ref="AX7:AZ7"/>
    <mergeCell ref="BA7:BC7"/>
    <mergeCell ref="BD7:BF7"/>
    <mergeCell ref="BJ6:BL6"/>
    <mergeCell ref="BJ3:BL3"/>
    <mergeCell ref="AR4:AT4"/>
    <mergeCell ref="AR7:AT7"/>
    <mergeCell ref="AX5:AZ5"/>
    <mergeCell ref="BA5:BC5"/>
    <mergeCell ref="BD5:BF5"/>
    <mergeCell ref="BG5:BI5"/>
    <mergeCell ref="BJ5:BL5"/>
    <mergeCell ref="AR6:AT6"/>
    <mergeCell ref="AU6:AW6"/>
    <mergeCell ref="AX6:AZ6"/>
    <mergeCell ref="BJ4:BL4"/>
    <mergeCell ref="BA6:BC6"/>
    <mergeCell ref="BD6:BF6"/>
    <mergeCell ref="H8:J8"/>
    <mergeCell ref="K8:M8"/>
    <mergeCell ref="K10:M10"/>
    <mergeCell ref="N10:P10"/>
    <mergeCell ref="Q10:S10"/>
    <mergeCell ref="T10:V10"/>
    <mergeCell ref="W10:Y10"/>
    <mergeCell ref="W8:Y8"/>
    <mergeCell ref="Z8:AB8"/>
    <mergeCell ref="CN6:CP6"/>
    <mergeCell ref="CN8:CP8"/>
    <mergeCell ref="CN10:CP10"/>
    <mergeCell ref="CB5:CD5"/>
    <mergeCell ref="CE5:CG5"/>
    <mergeCell ref="CH5:CJ5"/>
    <mergeCell ref="CK5:CM5"/>
    <mergeCell ref="CN5:CP5"/>
    <mergeCell ref="CN9:CP9"/>
    <mergeCell ref="CK8:CM8"/>
    <mergeCell ref="CB9:CD9"/>
    <mergeCell ref="CE9:CG9"/>
    <mergeCell ref="CH9:CJ9"/>
    <mergeCell ref="CK9:CM9"/>
    <mergeCell ref="CB6:CD6"/>
    <mergeCell ref="CE6:CG6"/>
    <mergeCell ref="CH6:CJ6"/>
    <mergeCell ref="CK6:CM6"/>
    <mergeCell ref="CH10:CJ10"/>
    <mergeCell ref="CK10:CM10"/>
    <mergeCell ref="CH8:CJ8"/>
    <mergeCell ref="CK7:CM7"/>
    <mergeCell ref="CN7:CP7"/>
    <mergeCell ref="A77:D77"/>
    <mergeCell ref="E77:I77"/>
    <mergeCell ref="E6:G6"/>
    <mergeCell ref="E8:G8"/>
    <mergeCell ref="E10:G10"/>
    <mergeCell ref="Q5:S5"/>
    <mergeCell ref="T5:V5"/>
    <mergeCell ref="W5:Y5"/>
    <mergeCell ref="Z5:AB5"/>
    <mergeCell ref="A7:D7"/>
    <mergeCell ref="E7:G7"/>
    <mergeCell ref="H7:J7"/>
    <mergeCell ref="K7:M7"/>
    <mergeCell ref="N7:P7"/>
    <mergeCell ref="Q7:S7"/>
    <mergeCell ref="T7:V7"/>
    <mergeCell ref="W7:Y7"/>
    <mergeCell ref="Z7:AB7"/>
    <mergeCell ref="A5:D5"/>
    <mergeCell ref="E5:G5"/>
    <mergeCell ref="A8:D8"/>
    <mergeCell ref="A11:F11"/>
    <mergeCell ref="G11:W11"/>
    <mergeCell ref="H6:J6"/>
    <mergeCell ref="A9:D9"/>
    <mergeCell ref="E9:G9"/>
    <mergeCell ref="H9:J9"/>
    <mergeCell ref="K9:M9"/>
    <mergeCell ref="N9:P9"/>
    <mergeCell ref="Q9:S9"/>
    <mergeCell ref="T9:V9"/>
    <mergeCell ref="W9:Y9"/>
    <mergeCell ref="Z9:AB9"/>
    <mergeCell ref="AR9:AT9"/>
    <mergeCell ref="AU9:AW9"/>
    <mergeCell ref="N8:P8"/>
    <mergeCell ref="Q8:S8"/>
    <mergeCell ref="T8:V8"/>
    <mergeCell ref="AX9:AZ9"/>
    <mergeCell ref="BA9:BC9"/>
    <mergeCell ref="AF7:AH7"/>
    <mergeCell ref="AR8:AT8"/>
    <mergeCell ref="AU8:AW8"/>
    <mergeCell ref="AX8:AZ8"/>
    <mergeCell ref="BG9:BI9"/>
    <mergeCell ref="BJ9:BL9"/>
    <mergeCell ref="BM9:BO9"/>
    <mergeCell ref="BP9:BR9"/>
    <mergeCell ref="BS9:BU9"/>
    <mergeCell ref="BV9:BX9"/>
    <mergeCell ref="CH7:CJ7"/>
    <mergeCell ref="BA8:BC8"/>
    <mergeCell ref="BD8:BF8"/>
    <mergeCell ref="BD12:BF12"/>
    <mergeCell ref="BG12:BI12"/>
    <mergeCell ref="BJ12:BL12"/>
    <mergeCell ref="BM12:BO12"/>
    <mergeCell ref="BP12:BR12"/>
    <mergeCell ref="BY9:CA9"/>
    <mergeCell ref="CB7:CD7"/>
    <mergeCell ref="CE7:CG7"/>
    <mergeCell ref="BG8:BI8"/>
    <mergeCell ref="BJ8:BL8"/>
    <mergeCell ref="BM8:BO8"/>
    <mergeCell ref="BP8:BR8"/>
    <mergeCell ref="BS8:BU8"/>
    <mergeCell ref="BV8:BX8"/>
    <mergeCell ref="BY8:CA8"/>
    <mergeCell ref="CB8:CD8"/>
    <mergeCell ref="CE8:CG8"/>
    <mergeCell ref="BD9:BF9"/>
    <mergeCell ref="BJ10:BL10"/>
    <mergeCell ref="BM10:BO10"/>
    <mergeCell ref="BP10:BR10"/>
    <mergeCell ref="BS10:BU10"/>
    <mergeCell ref="BV10:BX10"/>
    <mergeCell ref="BY10:CA10"/>
    <mergeCell ref="AC12:AE12"/>
    <mergeCell ref="AF12:AH12"/>
    <mergeCell ref="AI12:AK12"/>
    <mergeCell ref="AL12:AN12"/>
    <mergeCell ref="AO12:AQ12"/>
    <mergeCell ref="AR12:AT12"/>
    <mergeCell ref="AU12:AW12"/>
    <mergeCell ref="AX12:AZ12"/>
    <mergeCell ref="BA12:BC12"/>
    <mergeCell ref="A12:D12"/>
    <mergeCell ref="E12:G12"/>
    <mergeCell ref="H12:J12"/>
    <mergeCell ref="K12:M12"/>
    <mergeCell ref="N12:P12"/>
    <mergeCell ref="Q12:S12"/>
    <mergeCell ref="T12:V12"/>
    <mergeCell ref="W12:Y12"/>
    <mergeCell ref="Z12:AB12"/>
    <mergeCell ref="BS12:BU12"/>
    <mergeCell ref="BV12:BX12"/>
    <mergeCell ref="BY12:CA12"/>
    <mergeCell ref="CB12:CD12"/>
    <mergeCell ref="CE12:CG12"/>
    <mergeCell ref="CH12:CJ12"/>
    <mergeCell ref="CK12:CM12"/>
    <mergeCell ref="CN12:CP12"/>
    <mergeCell ref="A13:D13"/>
    <mergeCell ref="E13:G13"/>
    <mergeCell ref="H13:J13"/>
    <mergeCell ref="K13:M13"/>
    <mergeCell ref="N13:P13"/>
    <mergeCell ref="Q13:S13"/>
    <mergeCell ref="T13:V13"/>
    <mergeCell ref="W13:Y13"/>
    <mergeCell ref="Z13:AB13"/>
    <mergeCell ref="AC13:AE13"/>
    <mergeCell ref="AF13:AH13"/>
    <mergeCell ref="AI13:AK13"/>
    <mergeCell ref="AL13:AN13"/>
    <mergeCell ref="AO13:AQ13"/>
    <mergeCell ref="AR13:AT13"/>
    <mergeCell ref="AU13:AW13"/>
    <mergeCell ref="AX13:AZ13"/>
    <mergeCell ref="BA13:BC13"/>
    <mergeCell ref="BD13:BF13"/>
    <mergeCell ref="BG13:BI13"/>
    <mergeCell ref="BJ13:BL13"/>
    <mergeCell ref="BM13:BO13"/>
    <mergeCell ref="BP13:BR13"/>
    <mergeCell ref="BS13:BU13"/>
    <mergeCell ref="BV13:BX13"/>
    <mergeCell ref="BY13:CA13"/>
    <mergeCell ref="CB13:CD13"/>
    <mergeCell ref="CE13:CG13"/>
    <mergeCell ref="CH13:CJ13"/>
    <mergeCell ref="CK13:CM13"/>
    <mergeCell ref="CN13:CP13"/>
    <mergeCell ref="A14:D14"/>
    <mergeCell ref="E14:G14"/>
    <mergeCell ref="H14:J14"/>
    <mergeCell ref="K14:M14"/>
    <mergeCell ref="N14:P14"/>
    <mergeCell ref="Q14:S14"/>
    <mergeCell ref="T14:V14"/>
    <mergeCell ref="W14:Y14"/>
    <mergeCell ref="Z14:AB14"/>
    <mergeCell ref="AC14:AE14"/>
    <mergeCell ref="AF14:AH14"/>
    <mergeCell ref="AI14:AK14"/>
    <mergeCell ref="AL14:AN14"/>
    <mergeCell ref="AO14:AQ14"/>
    <mergeCell ref="AR14:AT14"/>
    <mergeCell ref="AU14:AW14"/>
    <mergeCell ref="AX14:AZ14"/>
    <mergeCell ref="BA14:BC14"/>
    <mergeCell ref="BD14:BF14"/>
    <mergeCell ref="BG14:BI14"/>
    <mergeCell ref="BJ14:BL14"/>
    <mergeCell ref="BM14:BO14"/>
    <mergeCell ref="BP14:BR14"/>
    <mergeCell ref="BS14:BU14"/>
    <mergeCell ref="BV14:BX14"/>
    <mergeCell ref="BY14:CA14"/>
    <mergeCell ref="CB14:CD14"/>
    <mergeCell ref="CE14:CG14"/>
    <mergeCell ref="CH14:CJ14"/>
    <mergeCell ref="CK14:CM14"/>
    <mergeCell ref="CN14:CP14"/>
    <mergeCell ref="A15:D15"/>
    <mergeCell ref="E15:G15"/>
    <mergeCell ref="H15:J15"/>
    <mergeCell ref="K15:M15"/>
    <mergeCell ref="N15:P15"/>
    <mergeCell ref="Q15:S15"/>
    <mergeCell ref="T15:V15"/>
    <mergeCell ref="W15:Y15"/>
    <mergeCell ref="Z15:AB15"/>
    <mergeCell ref="AC15:AE15"/>
    <mergeCell ref="AF15:AH15"/>
    <mergeCell ref="AI15:AK15"/>
    <mergeCell ref="AL15:AN15"/>
    <mergeCell ref="AO15:AQ15"/>
    <mergeCell ref="AR15:AT15"/>
    <mergeCell ref="AU15:AW15"/>
    <mergeCell ref="AX15:AZ15"/>
    <mergeCell ref="BA15:BC15"/>
    <mergeCell ref="BD15:BF15"/>
    <mergeCell ref="BG15:BI15"/>
    <mergeCell ref="BJ15:BL15"/>
    <mergeCell ref="BM15:BO15"/>
    <mergeCell ref="BP15:BR15"/>
    <mergeCell ref="BS15:BU15"/>
    <mergeCell ref="BV15:BX15"/>
    <mergeCell ref="BY15:CA15"/>
    <mergeCell ref="CB15:CD15"/>
    <mergeCell ref="CE15:CG15"/>
    <mergeCell ref="CH15:CJ15"/>
    <mergeCell ref="CK15:CM15"/>
    <mergeCell ref="CN15:CP15"/>
    <mergeCell ref="A16:D16"/>
    <mergeCell ref="E16:G16"/>
    <mergeCell ref="H16:J16"/>
    <mergeCell ref="K16:M16"/>
    <mergeCell ref="N16:P16"/>
    <mergeCell ref="Q16:S16"/>
    <mergeCell ref="T16:V16"/>
    <mergeCell ref="W16:Y16"/>
    <mergeCell ref="Z16:AB16"/>
    <mergeCell ref="AC16:AE16"/>
    <mergeCell ref="AF16:AH16"/>
    <mergeCell ref="AI16:AK16"/>
    <mergeCell ref="AL16:AN16"/>
    <mergeCell ref="AO16:AQ16"/>
    <mergeCell ref="AR16:AT16"/>
    <mergeCell ref="AU16:AW16"/>
    <mergeCell ref="AX16:AZ16"/>
    <mergeCell ref="BA16:BC16"/>
    <mergeCell ref="BD16:BF16"/>
    <mergeCell ref="BG16:BI16"/>
    <mergeCell ref="BJ16:BL16"/>
    <mergeCell ref="BM16:BO16"/>
    <mergeCell ref="BP16:BR16"/>
    <mergeCell ref="BS16:BU16"/>
    <mergeCell ref="BV16:BX16"/>
    <mergeCell ref="BY16:CA16"/>
    <mergeCell ref="CB16:CD16"/>
    <mergeCell ref="CE16:CG16"/>
    <mergeCell ref="CH16:CJ16"/>
    <mergeCell ref="CK16:CM16"/>
    <mergeCell ref="CN16:CP16"/>
    <mergeCell ref="A17:D17"/>
    <mergeCell ref="E17:G17"/>
    <mergeCell ref="H17:J17"/>
    <mergeCell ref="K17:M17"/>
    <mergeCell ref="N17:P17"/>
    <mergeCell ref="Q17:S17"/>
    <mergeCell ref="T17:V17"/>
    <mergeCell ref="W17:Y17"/>
    <mergeCell ref="Z17:AB17"/>
    <mergeCell ref="AC17:AE17"/>
    <mergeCell ref="AF17:AH17"/>
    <mergeCell ref="AI17:AK17"/>
    <mergeCell ref="AL17:AN17"/>
    <mergeCell ref="AO17:AQ17"/>
    <mergeCell ref="AR17:AT17"/>
    <mergeCell ref="AU17:AW17"/>
    <mergeCell ref="AX17:AZ17"/>
    <mergeCell ref="BA17:BC17"/>
    <mergeCell ref="BD17:BF17"/>
    <mergeCell ref="BG17:BI17"/>
    <mergeCell ref="BJ17:BL17"/>
    <mergeCell ref="BM17:BO17"/>
    <mergeCell ref="BP17:BR17"/>
    <mergeCell ref="BS17:BU17"/>
    <mergeCell ref="BV17:BX17"/>
    <mergeCell ref="BY17:CA17"/>
    <mergeCell ref="CB17:CD17"/>
    <mergeCell ref="CE17:CG17"/>
    <mergeCell ref="CH17:CJ17"/>
    <mergeCell ref="CK17:CM17"/>
    <mergeCell ref="CN17:CP17"/>
    <mergeCell ref="A18:D18"/>
    <mergeCell ref="E18:G18"/>
    <mergeCell ref="H18:J18"/>
    <mergeCell ref="K18:M18"/>
    <mergeCell ref="N18:P18"/>
    <mergeCell ref="Q18:S18"/>
    <mergeCell ref="T18:V18"/>
    <mergeCell ref="W18:Y18"/>
    <mergeCell ref="Z18:AB18"/>
    <mergeCell ref="AC18:AE18"/>
    <mergeCell ref="AF18:AH18"/>
    <mergeCell ref="AI18:AK18"/>
    <mergeCell ref="AL18:AN18"/>
    <mergeCell ref="AO18:AQ18"/>
    <mergeCell ref="AR18:AT18"/>
    <mergeCell ref="AU18:AW18"/>
    <mergeCell ref="AX18:AZ18"/>
    <mergeCell ref="BA18:BC18"/>
    <mergeCell ref="BD18:BF18"/>
    <mergeCell ref="BG18:BI18"/>
    <mergeCell ref="BJ18:BL18"/>
    <mergeCell ref="BM18:BO18"/>
    <mergeCell ref="BP18:BR18"/>
    <mergeCell ref="BS18:BU18"/>
    <mergeCell ref="BV18:BX18"/>
    <mergeCell ref="BY18:CA18"/>
    <mergeCell ref="CB18:CD18"/>
    <mergeCell ref="CE18:CG18"/>
    <mergeCell ref="CH18:CJ18"/>
    <mergeCell ref="CK18:CM18"/>
    <mergeCell ref="CN18:CP18"/>
    <mergeCell ref="A19:D19"/>
    <mergeCell ref="E19:G19"/>
    <mergeCell ref="H19:J19"/>
    <mergeCell ref="K19:M19"/>
    <mergeCell ref="N19:P19"/>
    <mergeCell ref="Q19:S19"/>
    <mergeCell ref="T19:V19"/>
    <mergeCell ref="W19:Y19"/>
    <mergeCell ref="Z19:AB19"/>
    <mergeCell ref="AC19:AE19"/>
    <mergeCell ref="AF19:AH19"/>
    <mergeCell ref="AI19:AK19"/>
    <mergeCell ref="AL19:AN19"/>
    <mergeCell ref="AO19:AQ19"/>
    <mergeCell ref="AR19:AT19"/>
    <mergeCell ref="AU19:AW19"/>
    <mergeCell ref="AX19:AZ19"/>
    <mergeCell ref="BA19:BC19"/>
    <mergeCell ref="BD19:BF19"/>
    <mergeCell ref="BG19:BI19"/>
    <mergeCell ref="CK19:CM19"/>
    <mergeCell ref="CN19:CP19"/>
    <mergeCell ref="BJ19:BL19"/>
    <mergeCell ref="BM19:BO19"/>
    <mergeCell ref="BP19:BR19"/>
    <mergeCell ref="BS19:BU19"/>
    <mergeCell ref="BV19:BX19"/>
    <mergeCell ref="BY19:CA19"/>
    <mergeCell ref="CB19:CD19"/>
    <mergeCell ref="CE19:CG19"/>
    <mergeCell ref="CH19:CJ19"/>
  </mergeCells>
  <pageMargins left="0.7" right="0.7" top="0.75" bottom="0.75" header="0.3" footer="0.3"/>
  <pageSetup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CU20"/>
  <sheetViews>
    <sheetView zoomScale="55" zoomScaleNormal="55" zoomScalePageLayoutView="55" workbookViewId="0">
      <selection activeCell="B2" sqref="B2"/>
    </sheetView>
  </sheetViews>
  <sheetFormatPr defaultColWidth="22.42578125" defaultRowHeight="15"/>
  <cols>
    <col min="1" max="1" width="5.28515625" style="14" bestFit="1" customWidth="1"/>
    <col min="2" max="6" width="40.7109375" style="14" bestFit="1" customWidth="1"/>
    <col min="7" max="7" width="38.42578125" style="14" bestFit="1" customWidth="1"/>
    <col min="8" max="8" width="39.85546875" style="14" bestFit="1" customWidth="1"/>
    <col min="9" max="11" width="40.7109375" style="14" bestFit="1" customWidth="1"/>
    <col min="12" max="12" width="40.140625" style="14" bestFit="1" customWidth="1"/>
    <col min="13" max="13" width="40.7109375" style="14" bestFit="1" customWidth="1"/>
    <col min="14" max="14" width="40.42578125" style="14" bestFit="1" customWidth="1"/>
    <col min="15" max="15" width="40.7109375" style="14" bestFit="1" customWidth="1"/>
    <col min="16" max="17" width="40.140625" style="14" bestFit="1" customWidth="1"/>
    <col min="18" max="19" width="38.85546875" style="14" bestFit="1" customWidth="1"/>
    <col min="20" max="20" width="19.42578125" style="14" bestFit="1" customWidth="1"/>
    <col min="21" max="21" width="39.42578125" style="14" bestFit="1" customWidth="1"/>
    <col min="22" max="22" width="40.42578125" style="14" bestFit="1" customWidth="1"/>
    <col min="23" max="23" width="38.85546875" style="14" bestFit="1" customWidth="1"/>
    <col min="24" max="24" width="40.42578125" style="14" bestFit="1" customWidth="1"/>
    <col min="25" max="25" width="39.42578125" style="14" bestFit="1" customWidth="1"/>
    <col min="26" max="26" width="38" style="14" bestFit="1" customWidth="1"/>
    <col min="27" max="27" width="40.7109375" style="14" bestFit="1" customWidth="1"/>
    <col min="28" max="28" width="39.42578125" style="14" bestFit="1" customWidth="1"/>
    <col min="29" max="29" width="40.140625" style="14" bestFit="1" customWidth="1"/>
    <col min="30" max="30" width="39.42578125" style="14" bestFit="1" customWidth="1"/>
    <col min="31" max="32" width="35.7109375" style="14" bestFit="1" customWidth="1"/>
    <col min="33" max="35" width="38.85546875" style="14" bestFit="1" customWidth="1"/>
    <col min="36" max="36" width="40.7109375" style="14" bestFit="1" customWidth="1"/>
    <col min="37" max="37" width="38.85546875" style="14" bestFit="1" customWidth="1"/>
    <col min="38" max="38" width="40.42578125" style="14" bestFit="1" customWidth="1"/>
    <col min="39" max="41" width="40.7109375" style="14" bestFit="1" customWidth="1"/>
    <col min="42" max="42" width="39.85546875" style="14" bestFit="1" customWidth="1"/>
    <col min="43" max="43" width="40.7109375" style="14" bestFit="1" customWidth="1"/>
    <col min="44" max="44" width="39.42578125" style="14" bestFit="1" customWidth="1"/>
    <col min="45" max="45" width="40.42578125" style="14" bestFit="1" customWidth="1"/>
    <col min="46" max="47" width="40.7109375" style="14" bestFit="1" customWidth="1"/>
    <col min="48" max="48" width="38.42578125" style="14" bestFit="1" customWidth="1"/>
    <col min="49" max="49" width="39.85546875" style="14" bestFit="1" customWidth="1"/>
    <col min="50" max="50" width="40.7109375" style="14" bestFit="1" customWidth="1"/>
    <col min="51" max="51" width="35" style="14" bestFit="1" customWidth="1"/>
    <col min="52" max="52" width="39.85546875" style="14" bestFit="1" customWidth="1"/>
    <col min="53" max="53" width="38" style="14" bestFit="1" customWidth="1"/>
    <col min="54" max="54" width="40.7109375" style="14" bestFit="1" customWidth="1"/>
    <col min="55" max="55" width="39.85546875" style="14" bestFit="1" customWidth="1"/>
    <col min="56" max="56" width="36.28515625" style="14" bestFit="1" customWidth="1"/>
    <col min="57" max="57" width="40.7109375" style="14" bestFit="1" customWidth="1"/>
    <col min="58" max="58" width="39.85546875" style="14" bestFit="1" customWidth="1"/>
    <col min="59" max="59" width="38.28515625" style="14" bestFit="1" customWidth="1"/>
    <col min="60" max="60" width="38.85546875" style="14" bestFit="1" customWidth="1"/>
    <col min="61" max="61" width="39.42578125" style="14" bestFit="1" customWidth="1"/>
    <col min="62" max="63" width="40.7109375" style="14" bestFit="1" customWidth="1"/>
    <col min="64" max="65" width="39.85546875" style="14" bestFit="1" customWidth="1"/>
    <col min="66" max="66" width="40.42578125" style="14" bestFit="1" customWidth="1"/>
    <col min="67" max="68" width="40.7109375" style="14" bestFit="1" customWidth="1"/>
    <col min="69" max="70" width="40.140625" style="14" bestFit="1" customWidth="1"/>
    <col min="71" max="71" width="38" style="14" bestFit="1" customWidth="1"/>
    <col min="72" max="72" width="39.42578125" style="14" bestFit="1" customWidth="1"/>
    <col min="73" max="73" width="38.85546875" style="14" bestFit="1" customWidth="1"/>
    <col min="74" max="74" width="39.42578125" style="14" bestFit="1" customWidth="1"/>
    <col min="75" max="75" width="40.7109375" style="14" bestFit="1" customWidth="1"/>
    <col min="76" max="76" width="39.42578125" style="14" bestFit="1" customWidth="1"/>
    <col min="77" max="77" width="39.85546875" style="14" bestFit="1" customWidth="1"/>
    <col min="78" max="78" width="36.42578125" style="14" bestFit="1" customWidth="1"/>
    <col min="79" max="79" width="40.7109375" style="14" bestFit="1" customWidth="1"/>
    <col min="80" max="80" width="39.85546875" style="14" bestFit="1" customWidth="1"/>
    <col min="81" max="81" width="39.42578125" style="14" bestFit="1" customWidth="1"/>
    <col min="82" max="82" width="40.42578125" style="14" bestFit="1" customWidth="1"/>
    <col min="83" max="83" width="38.85546875" style="14" bestFit="1" customWidth="1"/>
    <col min="84" max="84" width="39.85546875" style="14" bestFit="1" customWidth="1"/>
    <col min="85" max="86" width="38.42578125" style="14" bestFit="1" customWidth="1"/>
    <col min="87" max="89" width="40.7109375" style="14" bestFit="1" customWidth="1"/>
    <col min="90" max="90" width="39.85546875" style="14" bestFit="1" customWidth="1"/>
    <col min="91" max="91" width="38" style="14" bestFit="1" customWidth="1"/>
    <col min="92" max="92" width="39.85546875" style="14" bestFit="1" customWidth="1"/>
    <col min="93" max="97" width="40.7109375" style="14" bestFit="1" customWidth="1"/>
    <col min="98" max="98" width="40.140625" style="14" bestFit="1" customWidth="1"/>
    <col min="99" max="99" width="40.42578125" style="14" bestFit="1" customWidth="1"/>
    <col min="100" max="16384" width="22.42578125" style="14"/>
  </cols>
  <sheetData>
    <row r="1" spans="1:99">
      <c r="B1" s="14" t="s">
        <v>23</v>
      </c>
      <c r="C1" s="14" t="s">
        <v>24</v>
      </c>
      <c r="D1" s="14" t="s">
        <v>3</v>
      </c>
      <c r="E1" s="14" t="s">
        <v>25</v>
      </c>
      <c r="F1" s="14" t="s">
        <v>26</v>
      </c>
      <c r="G1" s="14" t="s">
        <v>27</v>
      </c>
      <c r="H1" s="14" t="s">
        <v>28</v>
      </c>
      <c r="I1" s="14" t="s">
        <v>29</v>
      </c>
      <c r="J1" s="14" t="s">
        <v>30</v>
      </c>
      <c r="K1" s="14" t="s">
        <v>31</v>
      </c>
      <c r="L1" s="14" t="s">
        <v>32</v>
      </c>
      <c r="M1" s="14" t="s">
        <v>33</v>
      </c>
      <c r="N1" s="14" t="s">
        <v>34</v>
      </c>
      <c r="O1" s="14" t="s">
        <v>35</v>
      </c>
      <c r="P1" s="14" t="s">
        <v>36</v>
      </c>
      <c r="Q1" s="14" t="s">
        <v>37</v>
      </c>
      <c r="R1" s="14" t="s">
        <v>38</v>
      </c>
      <c r="S1" s="14" t="s">
        <v>39</v>
      </c>
      <c r="T1" s="14" t="s">
        <v>40</v>
      </c>
      <c r="U1" s="14" t="s">
        <v>41</v>
      </c>
      <c r="V1" s="14" t="s">
        <v>42</v>
      </c>
      <c r="W1" s="14" t="s">
        <v>43</v>
      </c>
      <c r="X1" s="14" t="s">
        <v>44</v>
      </c>
      <c r="Y1" s="14" t="s">
        <v>45</v>
      </c>
      <c r="Z1" s="14" t="s">
        <v>46</v>
      </c>
      <c r="AA1" s="14" t="s">
        <v>47</v>
      </c>
      <c r="AB1" s="14" t="s">
        <v>48</v>
      </c>
      <c r="AC1" s="14" t="s">
        <v>49</v>
      </c>
      <c r="AD1" s="14" t="s">
        <v>50</v>
      </c>
      <c r="AE1" s="14" t="s">
        <v>51</v>
      </c>
      <c r="AF1" s="14" t="s">
        <v>52</v>
      </c>
      <c r="AG1" s="14" t="s">
        <v>53</v>
      </c>
      <c r="AH1" s="14" t="s">
        <v>54</v>
      </c>
      <c r="AI1" s="14" t="s">
        <v>55</v>
      </c>
      <c r="AJ1" s="14" t="s">
        <v>56</v>
      </c>
      <c r="AK1" s="14" t="s">
        <v>57</v>
      </c>
      <c r="AL1" s="14" t="s">
        <v>58</v>
      </c>
      <c r="AM1" s="14" t="s">
        <v>59</v>
      </c>
      <c r="AN1" s="14" t="s">
        <v>60</v>
      </c>
      <c r="AO1" s="14" t="s">
        <v>61</v>
      </c>
      <c r="AP1" s="14" t="s">
        <v>62</v>
      </c>
      <c r="AQ1" s="14" t="s">
        <v>63</v>
      </c>
      <c r="AR1" s="14" t="s">
        <v>64</v>
      </c>
      <c r="AS1" s="14" t="s">
        <v>65</v>
      </c>
      <c r="AT1" s="14" t="s">
        <v>66</v>
      </c>
      <c r="AU1" s="14" t="s">
        <v>67</v>
      </c>
      <c r="AV1" s="14" t="s">
        <v>68</v>
      </c>
      <c r="AW1" s="14" t="s">
        <v>69</v>
      </c>
      <c r="AX1" s="14" t="s">
        <v>70</v>
      </c>
      <c r="AY1" s="14" t="s">
        <v>71</v>
      </c>
      <c r="AZ1" s="14" t="s">
        <v>72</v>
      </c>
      <c r="BA1" s="14" t="s">
        <v>73</v>
      </c>
      <c r="BB1" s="14" t="s">
        <v>74</v>
      </c>
      <c r="BC1" s="14" t="s">
        <v>75</v>
      </c>
      <c r="BD1" s="14" t="s">
        <v>76</v>
      </c>
      <c r="BE1" s="14" t="s">
        <v>77</v>
      </c>
      <c r="BF1" s="14" t="s">
        <v>78</v>
      </c>
      <c r="BG1" s="14" t="s">
        <v>79</v>
      </c>
      <c r="BH1" s="14" t="s">
        <v>80</v>
      </c>
      <c r="BI1" s="14" t="s">
        <v>81</v>
      </c>
      <c r="BJ1" s="14" t="s">
        <v>82</v>
      </c>
      <c r="BK1" s="14" t="s">
        <v>83</v>
      </c>
      <c r="BL1" s="14" t="s">
        <v>84</v>
      </c>
      <c r="BM1" s="14" t="s">
        <v>85</v>
      </c>
      <c r="BN1" s="14" t="s">
        <v>86</v>
      </c>
      <c r="BO1" s="14" t="s">
        <v>87</v>
      </c>
      <c r="BP1" s="14" t="s">
        <v>88</v>
      </c>
      <c r="BQ1" s="14" t="s">
        <v>89</v>
      </c>
      <c r="BR1" s="14" t="s">
        <v>90</v>
      </c>
      <c r="BS1" s="14" t="s">
        <v>91</v>
      </c>
      <c r="BT1" s="14" t="s">
        <v>92</v>
      </c>
      <c r="BU1" s="14" t="s">
        <v>93</v>
      </c>
      <c r="BV1" s="14" t="s">
        <v>94</v>
      </c>
      <c r="BW1" s="14" t="s">
        <v>95</v>
      </c>
      <c r="BX1" s="14" t="s">
        <v>96</v>
      </c>
      <c r="BY1" s="14" t="s">
        <v>97</v>
      </c>
      <c r="BZ1" s="14" t="s">
        <v>98</v>
      </c>
      <c r="CA1" s="14" t="s">
        <v>99</v>
      </c>
      <c r="CB1" s="14" t="s">
        <v>100</v>
      </c>
      <c r="CC1" s="14" t="s">
        <v>101</v>
      </c>
      <c r="CD1" s="14" t="s">
        <v>102</v>
      </c>
      <c r="CE1" s="14" t="s">
        <v>103</v>
      </c>
      <c r="CF1" s="14" t="s">
        <v>104</v>
      </c>
      <c r="CG1" s="14" t="s">
        <v>105</v>
      </c>
      <c r="CH1" s="14" t="s">
        <v>106</v>
      </c>
      <c r="CI1" s="14" t="s">
        <v>107</v>
      </c>
      <c r="CJ1" s="14" t="s">
        <v>108</v>
      </c>
      <c r="CK1" s="14" t="s">
        <v>109</v>
      </c>
      <c r="CL1" s="14" t="s">
        <v>110</v>
      </c>
      <c r="CM1" s="14" t="s">
        <v>111</v>
      </c>
      <c r="CN1" s="14" t="s">
        <v>112</v>
      </c>
      <c r="CO1" s="14" t="s">
        <v>113</v>
      </c>
      <c r="CP1" s="14" t="s">
        <v>114</v>
      </c>
      <c r="CQ1" s="14" t="s">
        <v>115</v>
      </c>
      <c r="CR1" s="14" t="s">
        <v>116</v>
      </c>
      <c r="CS1" s="14" t="s">
        <v>117</v>
      </c>
      <c r="CT1" s="14" t="s">
        <v>118</v>
      </c>
      <c r="CU1" s="14" t="s">
        <v>119</v>
      </c>
    </row>
    <row r="2" spans="1:99">
      <c r="A2" s="14" t="s">
        <v>120</v>
      </c>
      <c r="B2" s="14">
        <f>21+START!B4</f>
        <v>26</v>
      </c>
      <c r="C2" s="14">
        <f>21+START!B4</f>
        <v>26</v>
      </c>
      <c r="D2" s="14">
        <f>15+START!B4</f>
        <v>20</v>
      </c>
      <c r="E2" s="14">
        <f>17+START!B4</f>
        <v>22</v>
      </c>
      <c r="F2" s="14">
        <f>22+START!B4</f>
        <v>27</v>
      </c>
      <c r="G2" s="14">
        <f>15+START!B4</f>
        <v>20</v>
      </c>
      <c r="H2" s="14">
        <f>17+START!B4</f>
        <v>22</v>
      </c>
      <c r="I2" s="14">
        <f>22+START!B4</f>
        <v>27</v>
      </c>
      <c r="J2" s="14">
        <f>22+START!B4</f>
        <v>27</v>
      </c>
      <c r="K2" s="14">
        <f>22+START!B4</f>
        <v>27</v>
      </c>
      <c r="L2" s="14">
        <f>17+START!B4</f>
        <v>22</v>
      </c>
      <c r="M2" s="14">
        <f>15+START!B4</f>
        <v>20</v>
      </c>
      <c r="N2" s="14">
        <f>17+START!B4</f>
        <v>22</v>
      </c>
      <c r="O2" s="14">
        <f>17+START!B4</f>
        <v>22</v>
      </c>
      <c r="P2" s="14">
        <f>17+START!B4</f>
        <v>22</v>
      </c>
      <c r="Q2" s="14">
        <f>17+START!B4</f>
        <v>22</v>
      </c>
      <c r="R2" s="14">
        <f>17+START!B4</f>
        <v>22</v>
      </c>
      <c r="S2" s="14">
        <f>17+START!B4</f>
        <v>22</v>
      </c>
      <c r="T2" s="14">
        <f>17+START!B4</f>
        <v>22</v>
      </c>
      <c r="U2" s="14">
        <f>15+START!B4</f>
        <v>20</v>
      </c>
      <c r="V2" s="14">
        <f>17+START!B4</f>
        <v>22</v>
      </c>
      <c r="W2" s="14">
        <f>16+START!B4</f>
        <v>21</v>
      </c>
      <c r="X2" s="14">
        <f>16+START!B4</f>
        <v>21</v>
      </c>
      <c r="Y2" s="14">
        <f>16+START!B4</f>
        <v>21</v>
      </c>
      <c r="Z2" s="14">
        <f>14+START!B4</f>
        <v>19</v>
      </c>
      <c r="AA2" s="14">
        <f>14+START!B4</f>
        <v>19</v>
      </c>
      <c r="AB2" s="14">
        <f>14+START!B4</f>
        <v>19</v>
      </c>
      <c r="AC2" s="14">
        <f>14+START!B4</f>
        <v>19</v>
      </c>
      <c r="AD2" s="14">
        <f>14+START!B4</f>
        <v>19</v>
      </c>
      <c r="AE2" s="14">
        <f>14+START!B4</f>
        <v>19</v>
      </c>
      <c r="AF2" s="14">
        <f>14+START!B4</f>
        <v>19</v>
      </c>
      <c r="AG2" s="14">
        <f>14+START!B4</f>
        <v>19</v>
      </c>
      <c r="AH2" s="14">
        <f>14+START!B4</f>
        <v>19</v>
      </c>
      <c r="AI2" s="14">
        <f>14+START!B4</f>
        <v>19</v>
      </c>
      <c r="AJ2" s="14">
        <f>14+START!B4</f>
        <v>19</v>
      </c>
      <c r="AK2" s="14">
        <f>14+START!B4</f>
        <v>19</v>
      </c>
      <c r="AL2" s="14">
        <f>14+START!B4</f>
        <v>19</v>
      </c>
      <c r="AM2" s="14">
        <f>21+START!B4</f>
        <v>26</v>
      </c>
      <c r="AN2" s="14">
        <f>21+START!B4</f>
        <v>26</v>
      </c>
      <c r="AO2" s="14">
        <f>21+START!B4</f>
        <v>26</v>
      </c>
      <c r="AP2" s="14">
        <f>21+START!B4</f>
        <v>26</v>
      </c>
      <c r="AQ2" s="14">
        <f>16+START!B4</f>
        <v>21</v>
      </c>
      <c r="AR2" s="14">
        <f>16+START!B4</f>
        <v>21</v>
      </c>
      <c r="AS2" s="14">
        <f>14+START!B4</f>
        <v>19</v>
      </c>
      <c r="AT2" s="14">
        <f>21+START!B4</f>
        <v>26</v>
      </c>
      <c r="AU2" s="14">
        <f>16+START!B4</f>
        <v>21</v>
      </c>
      <c r="AV2" s="14">
        <f>16+START!B4</f>
        <v>21</v>
      </c>
      <c r="AW2" s="14">
        <f>16+START!B4</f>
        <v>21</v>
      </c>
      <c r="AX2" s="14">
        <f>21+START!B4</f>
        <v>26</v>
      </c>
      <c r="AY2" s="14">
        <f>21+START!B4</f>
        <v>26</v>
      </c>
      <c r="AZ2" s="14">
        <f>16+START!B4</f>
        <v>21</v>
      </c>
      <c r="BA2" s="14">
        <f>21+START!B4</f>
        <v>26</v>
      </c>
      <c r="BB2" s="14">
        <f>21+START!B4</f>
        <v>26</v>
      </c>
      <c r="BC2" s="14">
        <f>21+START!B4</f>
        <v>26</v>
      </c>
      <c r="BD2" s="14">
        <f>16+START!B4</f>
        <v>21</v>
      </c>
      <c r="BE2" s="14">
        <f>16+START!B4</f>
        <v>21</v>
      </c>
      <c r="BF2" s="14">
        <f>16+START!B4</f>
        <v>21</v>
      </c>
      <c r="BH2" s="14">
        <f>14+START!B4</f>
        <v>19</v>
      </c>
      <c r="BI2" s="14">
        <f>14+START!B4</f>
        <v>19</v>
      </c>
      <c r="BJ2" s="14">
        <f>14+START!B4</f>
        <v>19</v>
      </c>
      <c r="BK2" s="14">
        <f>21+START!B4</f>
        <v>26</v>
      </c>
      <c r="BL2" s="14">
        <f>16+START!B4</f>
        <v>21</v>
      </c>
      <c r="BM2" s="14">
        <f>16+START!B4</f>
        <v>21</v>
      </c>
      <c r="BN2" s="14">
        <f>16+START!B4</f>
        <v>21</v>
      </c>
      <c r="BO2" s="14">
        <f>16+START!B4</f>
        <v>21</v>
      </c>
      <c r="BP2" s="14">
        <f>21+START!B4</f>
        <v>26</v>
      </c>
      <c r="BQ2" s="14">
        <f>21+START!B4</f>
        <v>26</v>
      </c>
      <c r="BR2" s="14">
        <f>21+START!B4</f>
        <v>26</v>
      </c>
      <c r="BS2" s="14">
        <f>17+START!B4</f>
        <v>22</v>
      </c>
      <c r="BT2" s="14">
        <f>16+START!B4</f>
        <v>21</v>
      </c>
      <c r="BU2" s="14">
        <f>17+START!B4</f>
        <v>22</v>
      </c>
      <c r="BV2" s="14">
        <f>21+START!B4</f>
        <v>26</v>
      </c>
      <c r="BW2" s="14">
        <f>21+START!B4</f>
        <v>26</v>
      </c>
      <c r="BX2" s="14">
        <f>16+START!B4</f>
        <v>21</v>
      </c>
      <c r="BY2" s="14">
        <f>14+START!B4</f>
        <v>19</v>
      </c>
      <c r="BZ2" s="14">
        <f>14+START!B4</f>
        <v>19</v>
      </c>
      <c r="CA2" s="14">
        <f>16+START!B4</f>
        <v>21</v>
      </c>
      <c r="CB2" s="14">
        <f>16+START!B4</f>
        <v>21</v>
      </c>
      <c r="CC2" s="14">
        <f>16+START!B4</f>
        <v>21</v>
      </c>
      <c r="CD2" s="14">
        <f>14+START!B4</f>
        <v>19</v>
      </c>
      <c r="CF2" s="14">
        <f>16+START!B4</f>
        <v>21</v>
      </c>
      <c r="CG2" s="14">
        <f>21+START!B4</f>
        <v>26</v>
      </c>
      <c r="CH2" s="14">
        <f>16+START!B4</f>
        <v>21</v>
      </c>
      <c r="CI2" s="14">
        <f>21+START!B4</f>
        <v>26</v>
      </c>
      <c r="CJ2" s="14">
        <f>13+START!B4</f>
        <v>18</v>
      </c>
      <c r="CK2" s="14">
        <f>14+START!B4</f>
        <v>19</v>
      </c>
      <c r="CL2" s="14">
        <f>21+START!B4</f>
        <v>26</v>
      </c>
      <c r="CM2" s="14">
        <f>14+START!B4</f>
        <v>19</v>
      </c>
      <c r="CN2" s="14">
        <f>16+START!B4</f>
        <v>21</v>
      </c>
      <c r="CO2" s="14">
        <f>21+START!B4</f>
        <v>26</v>
      </c>
      <c r="CP2" s="14">
        <f>13+START!B4</f>
        <v>18</v>
      </c>
      <c r="CQ2" s="14">
        <f>21+START!B4</f>
        <v>26</v>
      </c>
      <c r="CT2" s="14">
        <f>21+START!B4</f>
        <v>26</v>
      </c>
      <c r="CU2" s="14">
        <f>21+START!B4</f>
        <v>26</v>
      </c>
    </row>
    <row r="3" spans="1:99">
      <c r="B3" s="14" t="s">
        <v>23</v>
      </c>
      <c r="C3" s="14" t="s">
        <v>24</v>
      </c>
      <c r="D3" s="14" t="s">
        <v>3</v>
      </c>
      <c r="E3" s="14" t="s">
        <v>25</v>
      </c>
      <c r="F3" s="14" t="s">
        <v>26</v>
      </c>
      <c r="G3" s="14" t="s">
        <v>27</v>
      </c>
      <c r="H3" s="14" t="s">
        <v>28</v>
      </c>
      <c r="I3" s="14" t="s">
        <v>29</v>
      </c>
      <c r="J3" s="14" t="s">
        <v>30</v>
      </c>
      <c r="K3" s="14" t="s">
        <v>31</v>
      </c>
      <c r="L3" s="14" t="s">
        <v>32</v>
      </c>
      <c r="M3" s="14" t="s">
        <v>33</v>
      </c>
      <c r="N3" s="14" t="s">
        <v>34</v>
      </c>
      <c r="O3" s="14" t="s">
        <v>35</v>
      </c>
      <c r="P3" s="14" t="s">
        <v>36</v>
      </c>
      <c r="Q3" s="14" t="s">
        <v>37</v>
      </c>
      <c r="R3" s="14" t="s">
        <v>38</v>
      </c>
      <c r="S3" s="14" t="s">
        <v>39</v>
      </c>
      <c r="T3" s="14" t="s">
        <v>40</v>
      </c>
      <c r="U3" s="14" t="s">
        <v>41</v>
      </c>
      <c r="V3" s="14" t="s">
        <v>42</v>
      </c>
      <c r="W3" s="14" t="s">
        <v>43</v>
      </c>
      <c r="X3" s="14" t="s">
        <v>44</v>
      </c>
      <c r="Y3" s="14" t="s">
        <v>45</v>
      </c>
      <c r="Z3" s="14" t="s">
        <v>46</v>
      </c>
      <c r="AA3" s="14" t="s">
        <v>47</v>
      </c>
      <c r="AB3" s="14" t="s">
        <v>48</v>
      </c>
      <c r="AC3" s="14" t="s">
        <v>49</v>
      </c>
      <c r="AD3" s="14" t="s">
        <v>50</v>
      </c>
      <c r="AE3" s="14" t="s">
        <v>51</v>
      </c>
      <c r="AF3" s="14" t="s">
        <v>52</v>
      </c>
      <c r="AG3" s="14" t="s">
        <v>53</v>
      </c>
      <c r="AH3" s="14" t="s">
        <v>54</v>
      </c>
      <c r="AI3" s="14" t="s">
        <v>55</v>
      </c>
      <c r="AJ3" s="14" t="s">
        <v>56</v>
      </c>
      <c r="AK3" s="14" t="s">
        <v>57</v>
      </c>
      <c r="AL3" s="14" t="s">
        <v>58</v>
      </c>
      <c r="AM3" s="14" t="s">
        <v>59</v>
      </c>
      <c r="AN3" s="14" t="s">
        <v>60</v>
      </c>
      <c r="AO3" s="14" t="s">
        <v>61</v>
      </c>
      <c r="AP3" s="14" t="s">
        <v>62</v>
      </c>
      <c r="AQ3" s="14" t="s">
        <v>63</v>
      </c>
      <c r="AR3" s="14" t="s">
        <v>64</v>
      </c>
      <c r="AS3" s="14" t="s">
        <v>65</v>
      </c>
      <c r="AT3" s="14" t="s">
        <v>66</v>
      </c>
      <c r="AU3" s="14" t="s">
        <v>67</v>
      </c>
      <c r="AV3" s="14" t="s">
        <v>68</v>
      </c>
      <c r="AW3" s="14" t="s">
        <v>69</v>
      </c>
      <c r="AX3" s="14" t="s">
        <v>70</v>
      </c>
      <c r="AY3" s="14" t="s">
        <v>71</v>
      </c>
      <c r="AZ3" s="14" t="s">
        <v>72</v>
      </c>
      <c r="BA3" s="14" t="s">
        <v>73</v>
      </c>
      <c r="BB3" s="14" t="s">
        <v>74</v>
      </c>
      <c r="BC3" s="14" t="s">
        <v>75</v>
      </c>
      <c r="BD3" s="14" t="s">
        <v>76</v>
      </c>
      <c r="BE3" s="14" t="s">
        <v>77</v>
      </c>
      <c r="BF3" s="14" t="s">
        <v>78</v>
      </c>
      <c r="BG3" s="14" t="s">
        <v>79</v>
      </c>
      <c r="BH3" s="14" t="s">
        <v>80</v>
      </c>
      <c r="BI3" s="14" t="s">
        <v>81</v>
      </c>
      <c r="BJ3" s="14" t="s">
        <v>82</v>
      </c>
      <c r="BK3" s="14" t="s">
        <v>83</v>
      </c>
      <c r="BL3" s="14" t="s">
        <v>84</v>
      </c>
      <c r="BM3" s="14" t="s">
        <v>85</v>
      </c>
      <c r="BN3" s="14" t="s">
        <v>86</v>
      </c>
      <c r="BO3" s="14" t="s">
        <v>87</v>
      </c>
      <c r="BP3" s="14" t="s">
        <v>88</v>
      </c>
      <c r="BQ3" s="14" t="s">
        <v>89</v>
      </c>
      <c r="BR3" s="14" t="s">
        <v>90</v>
      </c>
      <c r="BS3" s="14" t="s">
        <v>91</v>
      </c>
      <c r="BT3" s="14" t="s">
        <v>92</v>
      </c>
      <c r="BU3" s="14" t="s">
        <v>93</v>
      </c>
      <c r="BV3" s="14" t="s">
        <v>94</v>
      </c>
      <c r="BW3" s="14" t="s">
        <v>95</v>
      </c>
      <c r="BX3" s="14" t="s">
        <v>96</v>
      </c>
      <c r="BY3" s="14" t="s">
        <v>97</v>
      </c>
      <c r="BZ3" s="14" t="s">
        <v>98</v>
      </c>
      <c r="CA3" s="14" t="s">
        <v>99</v>
      </c>
      <c r="CB3" s="14" t="s">
        <v>100</v>
      </c>
      <c r="CC3" s="14" t="s">
        <v>101</v>
      </c>
      <c r="CD3" s="14" t="s">
        <v>102</v>
      </c>
      <c r="CE3" s="14" t="s">
        <v>103</v>
      </c>
      <c r="CF3" s="14" t="s">
        <v>104</v>
      </c>
      <c r="CG3" s="14" t="s">
        <v>105</v>
      </c>
      <c r="CH3" s="14" t="s">
        <v>106</v>
      </c>
      <c r="CI3" s="14" t="s">
        <v>107</v>
      </c>
      <c r="CJ3" s="14" t="s">
        <v>108</v>
      </c>
      <c r="CK3" s="14" t="s">
        <v>109</v>
      </c>
      <c r="CL3" s="14" t="s">
        <v>110</v>
      </c>
      <c r="CM3" s="14" t="s">
        <v>111</v>
      </c>
      <c r="CN3" s="14" t="s">
        <v>112</v>
      </c>
      <c r="CO3" s="14" t="s">
        <v>113</v>
      </c>
      <c r="CP3" s="14" t="s">
        <v>114</v>
      </c>
      <c r="CQ3" s="14" t="s">
        <v>115</v>
      </c>
      <c r="CR3" s="14" t="s">
        <v>116</v>
      </c>
      <c r="CS3" s="14" t="s">
        <v>117</v>
      </c>
      <c r="CT3" s="14" t="s">
        <v>118</v>
      </c>
      <c r="CU3" s="14" t="s">
        <v>119</v>
      </c>
    </row>
    <row r="4" spans="1:99">
      <c r="A4" s="14" t="s">
        <v>121</v>
      </c>
      <c r="B4" s="14">
        <f>5+START!B4</f>
        <v>10</v>
      </c>
      <c r="C4" s="14">
        <f>5+START!B4</f>
        <v>10</v>
      </c>
      <c r="D4" s="14">
        <f>0+START!B4</f>
        <v>5</v>
      </c>
      <c r="E4" s="14">
        <f>0+START!B4</f>
        <v>5</v>
      </c>
      <c r="F4" s="14">
        <f>5+START!B4</f>
        <v>10</v>
      </c>
      <c r="G4" s="14">
        <f>5+START!B4</f>
        <v>10</v>
      </c>
      <c r="H4" s="14">
        <f>5+START!B4</f>
        <v>10</v>
      </c>
      <c r="I4" s="14">
        <f>5+START!B4</f>
        <v>10</v>
      </c>
      <c r="J4" s="14">
        <f>5+START!B4</f>
        <v>10</v>
      </c>
      <c r="K4" s="14">
        <f>5+START!B4</f>
        <v>10</v>
      </c>
      <c r="L4" s="14">
        <f>0+START!B4</f>
        <v>5</v>
      </c>
      <c r="M4" s="14">
        <f>2+START!B4</f>
        <v>7</v>
      </c>
      <c r="N4" s="14">
        <f>2+START!B4</f>
        <v>7</v>
      </c>
      <c r="O4" s="14">
        <f>5+START!B4</f>
        <v>10</v>
      </c>
      <c r="P4" s="14">
        <f>2+START!B4</f>
        <v>7</v>
      </c>
      <c r="Q4" s="14">
        <f>1+START!B4</f>
        <v>6</v>
      </c>
      <c r="R4" s="14">
        <f>1+START!B4</f>
        <v>6</v>
      </c>
      <c r="S4" s="14">
        <f>5+START!B4</f>
        <v>10</v>
      </c>
      <c r="T4" s="14">
        <f>5+START!B4</f>
        <v>10</v>
      </c>
      <c r="U4" s="14">
        <f>0+START!B4</f>
        <v>5</v>
      </c>
      <c r="V4" s="14">
        <f>5+START!B4</f>
        <v>10</v>
      </c>
      <c r="W4" s="14">
        <f>0+START!B4</f>
        <v>5</v>
      </c>
      <c r="X4" s="14">
        <f>3+START!B4</f>
        <v>8</v>
      </c>
      <c r="Y4" s="14">
        <f>5+START!B4</f>
        <v>10</v>
      </c>
      <c r="Z4" s="14">
        <f>0+START!B4</f>
        <v>5</v>
      </c>
      <c r="AA4" s="14">
        <f>0+START!B4</f>
        <v>5</v>
      </c>
      <c r="AB4" s="14">
        <f>0+START!B4</f>
        <v>5</v>
      </c>
      <c r="AC4" s="14">
        <f>0+START!B4</f>
        <v>5</v>
      </c>
      <c r="AD4" s="14">
        <f>0+START!B4</f>
        <v>5</v>
      </c>
      <c r="AE4" s="14">
        <f>5+START!B4</f>
        <v>10</v>
      </c>
      <c r="AF4" s="14">
        <f>7+START!B4</f>
        <v>12</v>
      </c>
      <c r="AG4" s="14">
        <f>0+START!B4</f>
        <v>5</v>
      </c>
      <c r="AH4" s="14">
        <f>0+START!B4</f>
        <v>5</v>
      </c>
      <c r="AI4" s="14">
        <f>5+START!B4</f>
        <v>10</v>
      </c>
      <c r="AJ4" s="14">
        <f>2+START!B4</f>
        <v>7</v>
      </c>
      <c r="AK4" s="14">
        <f>0+START!B4</f>
        <v>5</v>
      </c>
      <c r="AL4" s="14">
        <f>0+START!B4</f>
        <v>5</v>
      </c>
      <c r="AM4" s="14">
        <f>5+START!B4</f>
        <v>10</v>
      </c>
      <c r="AN4" s="14">
        <f>5+START!B4</f>
        <v>10</v>
      </c>
      <c r="AO4" s="14">
        <f>5+START!B4</f>
        <v>10</v>
      </c>
      <c r="AP4" s="14">
        <f>5+START!B4</f>
        <v>10</v>
      </c>
      <c r="AQ4" s="14">
        <f>5+START!B4</f>
        <v>10</v>
      </c>
      <c r="AR4" s="14">
        <f>5+START!B4</f>
        <v>10</v>
      </c>
      <c r="AS4" s="14">
        <f>1+START!B4</f>
        <v>6</v>
      </c>
      <c r="AT4" s="14">
        <f>5+START!B4</f>
        <v>10</v>
      </c>
      <c r="AU4" s="14">
        <f>5+START!B4</f>
        <v>10</v>
      </c>
      <c r="AV4" s="14">
        <f>5+START!B4</f>
        <v>10</v>
      </c>
      <c r="AW4" s="14">
        <f>7+START!B4</f>
        <v>12</v>
      </c>
      <c r="AX4" s="14">
        <f>5+START!B4</f>
        <v>10</v>
      </c>
      <c r="AY4" s="14">
        <f>5+START!B4</f>
        <v>10</v>
      </c>
      <c r="AZ4" s="14">
        <f>5+START!B4</f>
        <v>10</v>
      </c>
      <c r="BA4" s="14">
        <f>7+START!B4</f>
        <v>12</v>
      </c>
      <c r="BB4" s="14">
        <f>5+START!B4</f>
        <v>10</v>
      </c>
      <c r="BC4" s="14">
        <f>5+START!B4</f>
        <v>10</v>
      </c>
      <c r="BD4" s="14">
        <f>5+START!B4</f>
        <v>10</v>
      </c>
      <c r="BE4" s="14">
        <f>5+START!B4</f>
        <v>10</v>
      </c>
      <c r="BF4" s="14">
        <f>5+START!B4</f>
        <v>10</v>
      </c>
      <c r="BG4" s="14">
        <f>5+START!B4</f>
        <v>10</v>
      </c>
      <c r="BH4" s="14">
        <f>5+START!B4</f>
        <v>10</v>
      </c>
      <c r="BI4" s="14">
        <f>5+START!B4</f>
        <v>10</v>
      </c>
      <c r="BJ4" s="14">
        <f>5+START!B4</f>
        <v>10</v>
      </c>
      <c r="BK4" s="14">
        <f>5+START!B4</f>
        <v>10</v>
      </c>
      <c r="BL4" s="14">
        <f>5+START!B4</f>
        <v>10</v>
      </c>
      <c r="BM4" s="14">
        <f>5+START!B4</f>
        <v>10</v>
      </c>
      <c r="BN4" s="14">
        <f>0+START!B4</f>
        <v>5</v>
      </c>
      <c r="BO4" s="14">
        <f>0+START!B4</f>
        <v>5</v>
      </c>
      <c r="BP4" s="14">
        <f>1+START!B4</f>
        <v>6</v>
      </c>
      <c r="BQ4" s="14">
        <f>1+START!B4</f>
        <v>6</v>
      </c>
      <c r="BR4" s="14">
        <f>1+START!B4</f>
        <v>6</v>
      </c>
      <c r="BS4" s="14">
        <f>1+START!B4</f>
        <v>6</v>
      </c>
      <c r="BT4" s="14">
        <f>1+START!B4</f>
        <v>6</v>
      </c>
      <c r="BU4" s="14">
        <f>0+START!B4</f>
        <v>5</v>
      </c>
      <c r="BV4" s="14">
        <f>0+START!B4</f>
        <v>5</v>
      </c>
      <c r="BW4" s="14">
        <f>2+START!B4</f>
        <v>7</v>
      </c>
      <c r="BX4" s="14">
        <f>2+START!B4</f>
        <v>7</v>
      </c>
      <c r="BY4" s="14">
        <f>5+START!B4</f>
        <v>10</v>
      </c>
      <c r="BZ4" s="14">
        <f>5+START!B4</f>
        <v>10</v>
      </c>
      <c r="CA4" s="14">
        <f>2+START!B4</f>
        <v>7</v>
      </c>
      <c r="CB4" s="14">
        <f>5+START!B4</f>
        <v>10</v>
      </c>
      <c r="CC4" s="14">
        <f>5+START!B4</f>
        <v>10</v>
      </c>
      <c r="CD4" s="14">
        <f>1+START!B4</f>
        <v>6</v>
      </c>
      <c r="CE4" s="14">
        <f>7+START!B4</f>
        <v>12</v>
      </c>
      <c r="CF4" s="14">
        <f>5+START!B4</f>
        <v>10</v>
      </c>
      <c r="CG4" s="14">
        <f>0+START!B4</f>
        <v>5</v>
      </c>
      <c r="CH4" s="14">
        <f>5+START!B4</f>
        <v>10</v>
      </c>
      <c r="CI4" s="14">
        <f>5+START!B4</f>
        <v>10</v>
      </c>
      <c r="CJ4" s="14">
        <f>5+START!B4</f>
        <v>10</v>
      </c>
      <c r="CK4" s="14">
        <f>1+START!B4</f>
        <v>6</v>
      </c>
      <c r="CL4" s="14">
        <f>5+START!B4</f>
        <v>10</v>
      </c>
      <c r="CM4" s="14">
        <f>2+START!B4</f>
        <v>7</v>
      </c>
      <c r="CN4" s="14">
        <f>5+START!B4</f>
        <v>10</v>
      </c>
      <c r="CO4" s="14">
        <f>5+START!B4</f>
        <v>10</v>
      </c>
      <c r="CP4" s="14">
        <f>5+START!B4</f>
        <v>10</v>
      </c>
      <c r="CQ4" s="14">
        <f>5+START!B4</f>
        <v>10</v>
      </c>
      <c r="CR4" s="14">
        <f>5+START!B4</f>
        <v>10</v>
      </c>
      <c r="CS4" s="14">
        <f>5+START!B4</f>
        <v>10</v>
      </c>
      <c r="CT4" s="14">
        <f>0+START!B4</f>
        <v>5</v>
      </c>
      <c r="CU4" s="14">
        <f>0+START!B4</f>
        <v>5</v>
      </c>
    </row>
    <row r="5" spans="1:99">
      <c r="B5" s="14" t="s">
        <v>23</v>
      </c>
      <c r="C5" s="14" t="s">
        <v>24</v>
      </c>
      <c r="D5" s="14" t="s">
        <v>3</v>
      </c>
      <c r="E5" s="14" t="s">
        <v>25</v>
      </c>
      <c r="F5" s="14" t="s">
        <v>26</v>
      </c>
      <c r="G5" s="14" t="s">
        <v>27</v>
      </c>
      <c r="H5" s="14" t="s">
        <v>28</v>
      </c>
      <c r="I5" s="14" t="s">
        <v>29</v>
      </c>
      <c r="J5" s="14" t="s">
        <v>30</v>
      </c>
      <c r="K5" s="14" t="s">
        <v>31</v>
      </c>
      <c r="L5" s="14" t="s">
        <v>32</v>
      </c>
      <c r="M5" s="14" t="s">
        <v>33</v>
      </c>
      <c r="N5" s="14" t="s">
        <v>34</v>
      </c>
      <c r="O5" s="14" t="s">
        <v>35</v>
      </c>
      <c r="P5" s="14" t="s">
        <v>36</v>
      </c>
      <c r="Q5" s="14" t="s">
        <v>37</v>
      </c>
      <c r="R5" s="14" t="s">
        <v>38</v>
      </c>
      <c r="S5" s="14" t="s">
        <v>39</v>
      </c>
      <c r="T5" s="14" t="s">
        <v>40</v>
      </c>
      <c r="U5" s="14" t="s">
        <v>41</v>
      </c>
      <c r="V5" s="14" t="s">
        <v>42</v>
      </c>
      <c r="W5" s="14" t="s">
        <v>43</v>
      </c>
      <c r="X5" s="14" t="s">
        <v>44</v>
      </c>
      <c r="Y5" s="14" t="s">
        <v>45</v>
      </c>
      <c r="Z5" s="14" t="s">
        <v>46</v>
      </c>
      <c r="AA5" s="14" t="s">
        <v>47</v>
      </c>
      <c r="AB5" s="14" t="s">
        <v>48</v>
      </c>
      <c r="AC5" s="14" t="s">
        <v>49</v>
      </c>
      <c r="AD5" s="14" t="s">
        <v>50</v>
      </c>
      <c r="AE5" s="14" t="s">
        <v>51</v>
      </c>
      <c r="AF5" s="14" t="s">
        <v>52</v>
      </c>
      <c r="AG5" s="14" t="s">
        <v>53</v>
      </c>
      <c r="AH5" s="14" t="s">
        <v>54</v>
      </c>
      <c r="AI5" s="14" t="s">
        <v>55</v>
      </c>
      <c r="AJ5" s="14" t="s">
        <v>56</v>
      </c>
      <c r="AK5" s="14" t="s">
        <v>57</v>
      </c>
      <c r="AL5" s="14" t="s">
        <v>58</v>
      </c>
      <c r="AM5" s="14" t="s">
        <v>59</v>
      </c>
      <c r="AN5" s="14" t="s">
        <v>60</v>
      </c>
      <c r="AO5" s="14" t="s">
        <v>61</v>
      </c>
      <c r="AP5" s="14" t="s">
        <v>62</v>
      </c>
      <c r="AQ5" s="14" t="s">
        <v>63</v>
      </c>
      <c r="AR5" s="14" t="s">
        <v>64</v>
      </c>
      <c r="AS5" s="14" t="s">
        <v>65</v>
      </c>
      <c r="AT5" s="14" t="s">
        <v>66</v>
      </c>
      <c r="AU5" s="14" t="s">
        <v>67</v>
      </c>
      <c r="AV5" s="14" t="s">
        <v>68</v>
      </c>
      <c r="AW5" s="14" t="s">
        <v>69</v>
      </c>
      <c r="AX5" s="14" t="s">
        <v>70</v>
      </c>
      <c r="AY5" s="14" t="s">
        <v>71</v>
      </c>
      <c r="AZ5" s="14" t="s">
        <v>72</v>
      </c>
      <c r="BA5" s="14" t="s">
        <v>73</v>
      </c>
      <c r="BB5" s="14" t="s">
        <v>74</v>
      </c>
      <c r="BC5" s="14" t="s">
        <v>75</v>
      </c>
      <c r="BD5" s="14" t="s">
        <v>76</v>
      </c>
      <c r="BE5" s="14" t="s">
        <v>77</v>
      </c>
      <c r="BF5" s="14" t="s">
        <v>78</v>
      </c>
      <c r="BG5" s="14" t="s">
        <v>79</v>
      </c>
      <c r="BH5" s="14" t="s">
        <v>80</v>
      </c>
      <c r="BI5" s="14" t="s">
        <v>81</v>
      </c>
      <c r="BJ5" s="14" t="s">
        <v>82</v>
      </c>
      <c r="BK5" s="14" t="s">
        <v>83</v>
      </c>
      <c r="BL5" s="14" t="s">
        <v>84</v>
      </c>
      <c r="BM5" s="14" t="s">
        <v>85</v>
      </c>
      <c r="BN5" s="14" t="s">
        <v>86</v>
      </c>
      <c r="BO5" s="14" t="s">
        <v>87</v>
      </c>
      <c r="BP5" s="14" t="s">
        <v>88</v>
      </c>
      <c r="BQ5" s="14" t="s">
        <v>89</v>
      </c>
      <c r="BR5" s="14" t="s">
        <v>90</v>
      </c>
      <c r="BS5" s="14" t="s">
        <v>91</v>
      </c>
      <c r="BT5" s="14" t="s">
        <v>92</v>
      </c>
      <c r="BU5" s="14" t="s">
        <v>93</v>
      </c>
      <c r="BV5" s="14" t="s">
        <v>94</v>
      </c>
      <c r="BW5" s="14" t="s">
        <v>95</v>
      </c>
      <c r="BX5" s="14" t="s">
        <v>96</v>
      </c>
      <c r="BY5" s="14" t="s">
        <v>97</v>
      </c>
      <c r="BZ5" s="14" t="s">
        <v>98</v>
      </c>
      <c r="CA5" s="14" t="s">
        <v>99</v>
      </c>
      <c r="CB5" s="14" t="s">
        <v>100</v>
      </c>
      <c r="CC5" s="14" t="s">
        <v>101</v>
      </c>
      <c r="CD5" s="14" t="s">
        <v>102</v>
      </c>
      <c r="CE5" s="14" t="s">
        <v>103</v>
      </c>
      <c r="CF5" s="14" t="s">
        <v>104</v>
      </c>
      <c r="CG5" s="14" t="s">
        <v>105</v>
      </c>
      <c r="CH5" s="14" t="s">
        <v>106</v>
      </c>
      <c r="CI5" s="14" t="s">
        <v>107</v>
      </c>
      <c r="CJ5" s="14" t="s">
        <v>108</v>
      </c>
      <c r="CK5" s="14" t="s">
        <v>109</v>
      </c>
      <c r="CL5" s="14" t="s">
        <v>110</v>
      </c>
      <c r="CM5" s="14" t="s">
        <v>111</v>
      </c>
      <c r="CN5" s="14" t="s">
        <v>112</v>
      </c>
      <c r="CO5" s="14" t="s">
        <v>113</v>
      </c>
      <c r="CP5" s="14" t="s">
        <v>114</v>
      </c>
      <c r="CQ5" s="14" t="s">
        <v>115</v>
      </c>
      <c r="CR5" s="14" t="s">
        <v>116</v>
      </c>
      <c r="CS5" s="14" t="s">
        <v>117</v>
      </c>
      <c r="CT5" s="14" t="s">
        <v>118</v>
      </c>
      <c r="CU5" s="14" t="s">
        <v>119</v>
      </c>
    </row>
    <row r="6" spans="1:99">
      <c r="A6" s="14" t="s">
        <v>122</v>
      </c>
      <c r="B6" s="14">
        <f>13+START!B4</f>
        <v>18</v>
      </c>
      <c r="C6" s="14">
        <f>15+START!B4</f>
        <v>20</v>
      </c>
      <c r="D6" s="14">
        <f>9+START!B4</f>
        <v>14</v>
      </c>
      <c r="E6" s="14">
        <f>10+START!B4</f>
        <v>15</v>
      </c>
      <c r="F6" s="14">
        <f>15+START!B4</f>
        <v>20</v>
      </c>
      <c r="G6" s="14">
        <f>15+START!B4</f>
        <v>20</v>
      </c>
      <c r="H6" s="14">
        <f>15+START!B4</f>
        <v>20</v>
      </c>
      <c r="I6" s="14">
        <f>15+START!B4</f>
        <v>20</v>
      </c>
      <c r="J6" s="14">
        <f>15+START!B4</f>
        <v>20</v>
      </c>
      <c r="K6" s="14">
        <f>15+START!B4</f>
        <v>20</v>
      </c>
      <c r="L6" s="14">
        <f>9+START!B4</f>
        <v>14</v>
      </c>
      <c r="M6" s="14">
        <f>9+START!B4</f>
        <v>14</v>
      </c>
      <c r="N6" s="14">
        <f>9+START!B4</f>
        <v>14</v>
      </c>
      <c r="O6" s="14">
        <f>15+START!B4</f>
        <v>20</v>
      </c>
      <c r="P6" s="14">
        <f>15+START!B4</f>
        <v>20</v>
      </c>
      <c r="Q6" s="14">
        <f>15+START!B4</f>
        <v>20</v>
      </c>
      <c r="R6" s="14">
        <f>15+START!B4</f>
        <v>20</v>
      </c>
      <c r="S6" s="14">
        <f>17+START!B4</f>
        <v>22</v>
      </c>
      <c r="T6" s="14">
        <f>15+START!B4</f>
        <v>20</v>
      </c>
      <c r="U6" s="14">
        <f>9+START!B4</f>
        <v>14</v>
      </c>
      <c r="V6" s="14">
        <f>15+START!B4</f>
        <v>20</v>
      </c>
      <c r="W6" s="14">
        <f>9+START!B4</f>
        <v>14</v>
      </c>
      <c r="X6" s="14">
        <f>15+START!B4</f>
        <v>20</v>
      </c>
      <c r="Y6" s="14">
        <f>10+START!B4</f>
        <v>15</v>
      </c>
      <c r="Z6" s="14">
        <f>15+START!B4</f>
        <v>20</v>
      </c>
      <c r="AA6" s="14">
        <f>15+START!B4</f>
        <v>20</v>
      </c>
      <c r="AB6" s="14">
        <f>8+START!B4</f>
        <v>13</v>
      </c>
      <c r="AC6" s="14">
        <f>9+START!B4</f>
        <v>14</v>
      </c>
      <c r="AD6" s="14">
        <f>9+START!B4</f>
        <v>14</v>
      </c>
      <c r="AE6" s="14">
        <f>8+START!B4</f>
        <v>13</v>
      </c>
      <c r="AF6" s="14">
        <f>8+START!B4</f>
        <v>13</v>
      </c>
      <c r="AG6" s="14">
        <f>9+START!B4</f>
        <v>14</v>
      </c>
      <c r="AH6" s="14">
        <f>9+START!B4</f>
        <v>14</v>
      </c>
      <c r="AI6" s="14">
        <f>9+START!B4</f>
        <v>14</v>
      </c>
      <c r="AJ6" s="14">
        <f>9+START!B4</f>
        <v>14</v>
      </c>
      <c r="AK6" s="14">
        <f>9+START!B4</f>
        <v>14</v>
      </c>
      <c r="AL6" s="14">
        <f>9+START!B4</f>
        <v>14</v>
      </c>
      <c r="AM6" s="14">
        <f>15+START!B4</f>
        <v>20</v>
      </c>
      <c r="AN6" s="14">
        <f>15+START!B4</f>
        <v>20</v>
      </c>
      <c r="AP6" s="14">
        <f>15+START!B4</f>
        <v>20</v>
      </c>
      <c r="AQ6" s="14">
        <f>15+START!B4</f>
        <v>20</v>
      </c>
      <c r="AR6" s="14">
        <f>15+START!B4</f>
        <v>20</v>
      </c>
      <c r="AS6" s="14">
        <f>15+START!B4</f>
        <v>20</v>
      </c>
      <c r="AT6" s="14">
        <f>15+START!B4</f>
        <v>20</v>
      </c>
      <c r="AU6" s="14">
        <f>15+START!B4</f>
        <v>20</v>
      </c>
      <c r="AV6" s="14">
        <f>15+START!B4</f>
        <v>20</v>
      </c>
      <c r="AW6" s="14">
        <f>10+START!B4</f>
        <v>15</v>
      </c>
      <c r="AX6" s="14">
        <f>15+START!B4</f>
        <v>20</v>
      </c>
      <c r="AY6" s="14">
        <f>9+START!B4</f>
        <v>14</v>
      </c>
      <c r="AZ6" s="14">
        <f>9+START!B4</f>
        <v>14</v>
      </c>
      <c r="BA6" s="14">
        <f>9+START!B4</f>
        <v>14</v>
      </c>
      <c r="BB6" s="14">
        <f>9+START!B4</f>
        <v>14</v>
      </c>
      <c r="BC6" s="14">
        <f>9+START!B4</f>
        <v>14</v>
      </c>
      <c r="BD6" s="14">
        <f>10+START!B4</f>
        <v>15</v>
      </c>
      <c r="BE6" s="14">
        <f>15+START!B4</f>
        <v>20</v>
      </c>
      <c r="BF6" s="14">
        <f>9+START!B4</f>
        <v>14</v>
      </c>
      <c r="BG6" s="14">
        <v>0</v>
      </c>
      <c r="BH6" s="14">
        <f>9+START!B4</f>
        <v>14</v>
      </c>
      <c r="BI6" s="14">
        <f>15+START!B4</f>
        <v>20</v>
      </c>
      <c r="BJ6" s="14">
        <f>15+START!B4</f>
        <v>20</v>
      </c>
      <c r="BK6" s="14">
        <f>15+START!B4</f>
        <v>20</v>
      </c>
      <c r="BL6" s="14">
        <f>11+START!B4</f>
        <v>16</v>
      </c>
      <c r="BM6" s="14">
        <f>15+START!B4</f>
        <v>20</v>
      </c>
      <c r="BN6" s="14">
        <f>15+START!B4</f>
        <v>20</v>
      </c>
      <c r="BO6" s="14">
        <f>15+START!B4</f>
        <v>20</v>
      </c>
      <c r="BP6" s="14">
        <f>15+START!B4</f>
        <v>20</v>
      </c>
      <c r="BQ6" s="14">
        <f>17+START!B4</f>
        <v>22</v>
      </c>
      <c r="BR6" s="14">
        <f>17+START!B4</f>
        <v>22</v>
      </c>
      <c r="BS6" s="14">
        <f>15+START!B4</f>
        <v>20</v>
      </c>
      <c r="BT6" s="14">
        <f>15+START!B4</f>
        <v>20</v>
      </c>
      <c r="BU6" s="14">
        <f>17+START!B4</f>
        <v>22</v>
      </c>
      <c r="BV6" s="14">
        <f>10+START!B4</f>
        <v>15</v>
      </c>
      <c r="BW6" s="14">
        <f>15+START!B4</f>
        <v>20</v>
      </c>
      <c r="BX6" s="14">
        <f>15+START!B4</f>
        <v>20</v>
      </c>
      <c r="BY6" s="14">
        <f>15+START!B4</f>
        <v>20</v>
      </c>
      <c r="BZ6" s="14">
        <f>17+START!B4</f>
        <v>22</v>
      </c>
      <c r="CA6" s="14">
        <f>17+START!B4</f>
        <v>22</v>
      </c>
      <c r="CB6" s="14">
        <f>15+START!B4</f>
        <v>20</v>
      </c>
      <c r="CC6" s="14">
        <f>15+START!B4</f>
        <v>20</v>
      </c>
      <c r="CD6" s="14">
        <f>15+START!B4</f>
        <v>20</v>
      </c>
      <c r="CF6" s="14">
        <f>10+START!B4</f>
        <v>15</v>
      </c>
      <c r="CG6" s="14">
        <f>11+START!B4</f>
        <v>16</v>
      </c>
      <c r="CH6" s="14">
        <f>11+START!B4</f>
        <v>16</v>
      </c>
      <c r="CI6" s="14">
        <f>15+START!B4</f>
        <v>20</v>
      </c>
      <c r="CJ6" s="14">
        <f>15+START!B4</f>
        <v>20</v>
      </c>
      <c r="CK6" s="14">
        <f>11+START!B4</f>
        <v>16</v>
      </c>
      <c r="CL6" s="14">
        <f>15+START!B4</f>
        <v>20</v>
      </c>
      <c r="CM6" s="14">
        <f>15+START!B4</f>
        <v>20</v>
      </c>
      <c r="CN6" s="14">
        <f>15+START!B4</f>
        <v>20</v>
      </c>
      <c r="CO6" s="14">
        <f>15+START!B4</f>
        <v>20</v>
      </c>
      <c r="CP6" s="14">
        <f>15+START!B4</f>
        <v>20</v>
      </c>
      <c r="CQ6" s="14">
        <f>15+START!B4</f>
        <v>20</v>
      </c>
      <c r="CR6" s="14">
        <f>15+START!B4</f>
        <v>20</v>
      </c>
      <c r="CS6" s="14">
        <f>15+START!B4</f>
        <v>20</v>
      </c>
      <c r="CT6" s="14">
        <f>11+START!B4</f>
        <v>16</v>
      </c>
      <c r="CU6" s="14">
        <f>11+START!B4</f>
        <v>16</v>
      </c>
    </row>
    <row r="7" spans="1:99" ht="41.25">
      <c r="A7" s="14" t="s">
        <v>123</v>
      </c>
      <c r="B7" s="14" t="s">
        <v>23</v>
      </c>
      <c r="C7" s="14" t="s">
        <v>24</v>
      </c>
      <c r="D7" s="14" t="s">
        <v>3</v>
      </c>
      <c r="E7" s="14" t="s">
        <v>25</v>
      </c>
      <c r="F7" s="14" t="s">
        <v>26</v>
      </c>
      <c r="G7" s="14" t="s">
        <v>27</v>
      </c>
      <c r="H7" s="14" t="s">
        <v>28</v>
      </c>
      <c r="I7" s="14" t="s">
        <v>29</v>
      </c>
      <c r="J7" s="14" t="s">
        <v>30</v>
      </c>
      <c r="K7" s="14" t="s">
        <v>31</v>
      </c>
      <c r="L7" s="14" t="s">
        <v>32</v>
      </c>
      <c r="M7" s="14" t="s">
        <v>33</v>
      </c>
      <c r="N7" s="14" t="s">
        <v>34</v>
      </c>
      <c r="O7" s="14" t="s">
        <v>35</v>
      </c>
      <c r="P7" s="14" t="s">
        <v>36</v>
      </c>
      <c r="Q7" s="14" t="s">
        <v>37</v>
      </c>
      <c r="R7" s="14" t="s">
        <v>38</v>
      </c>
      <c r="S7" s="14" t="s">
        <v>39</v>
      </c>
      <c r="T7" s="14" t="s">
        <v>40</v>
      </c>
      <c r="U7" s="14" t="s">
        <v>41</v>
      </c>
      <c r="V7" s="14" t="s">
        <v>42</v>
      </c>
      <c r="W7" s="14" t="s">
        <v>43</v>
      </c>
      <c r="X7" s="14" t="s">
        <v>44</v>
      </c>
      <c r="Y7" s="14" t="s">
        <v>45</v>
      </c>
      <c r="Z7" s="14" t="s">
        <v>46</v>
      </c>
      <c r="AA7" s="14" t="s">
        <v>47</v>
      </c>
      <c r="AB7" s="14" t="s">
        <v>48</v>
      </c>
      <c r="AC7" s="14" t="s">
        <v>49</v>
      </c>
      <c r="AD7" s="14" t="s">
        <v>50</v>
      </c>
      <c r="AE7" s="14" t="s">
        <v>51</v>
      </c>
      <c r="AF7" s="14" t="s">
        <v>52</v>
      </c>
      <c r="AG7" s="14" t="s">
        <v>53</v>
      </c>
      <c r="AH7" s="14" t="s">
        <v>54</v>
      </c>
      <c r="AI7" s="14" t="s">
        <v>55</v>
      </c>
      <c r="AJ7" s="14" t="s">
        <v>56</v>
      </c>
      <c r="AK7" s="14" t="s">
        <v>57</v>
      </c>
      <c r="AL7" s="14" t="s">
        <v>58</v>
      </c>
      <c r="AM7" s="14" t="s">
        <v>59</v>
      </c>
      <c r="AN7" s="14" t="s">
        <v>60</v>
      </c>
      <c r="AO7" s="14" t="s">
        <v>61</v>
      </c>
      <c r="AP7" s="14" t="s">
        <v>62</v>
      </c>
      <c r="AQ7" s="14" t="s">
        <v>63</v>
      </c>
      <c r="AR7" s="14" t="s">
        <v>64</v>
      </c>
      <c r="AS7" s="14" t="s">
        <v>65</v>
      </c>
      <c r="AT7" s="14" t="s">
        <v>66</v>
      </c>
      <c r="AU7" s="14" t="s">
        <v>67</v>
      </c>
      <c r="AV7" s="14" t="s">
        <v>68</v>
      </c>
      <c r="AW7" s="14" t="s">
        <v>69</v>
      </c>
      <c r="AX7" s="14" t="s">
        <v>70</v>
      </c>
      <c r="AY7" s="14" t="s">
        <v>71</v>
      </c>
      <c r="AZ7" s="14" t="s">
        <v>72</v>
      </c>
      <c r="BA7" s="14" t="s">
        <v>73</v>
      </c>
      <c r="BB7" s="14" t="s">
        <v>74</v>
      </c>
      <c r="BC7" s="14" t="s">
        <v>75</v>
      </c>
      <c r="BD7" s="14" t="s">
        <v>76</v>
      </c>
      <c r="BE7" s="14" t="s">
        <v>77</v>
      </c>
      <c r="BF7" s="14" t="s">
        <v>78</v>
      </c>
      <c r="BG7" s="14" t="s">
        <v>79</v>
      </c>
      <c r="BH7" s="14" t="s">
        <v>80</v>
      </c>
      <c r="BI7" s="14" t="s">
        <v>81</v>
      </c>
      <c r="BJ7" s="14" t="s">
        <v>82</v>
      </c>
      <c r="BK7" s="14" t="s">
        <v>83</v>
      </c>
      <c r="BL7" s="14" t="s">
        <v>84</v>
      </c>
      <c r="BM7" s="14" t="s">
        <v>85</v>
      </c>
      <c r="BN7" s="14" t="s">
        <v>86</v>
      </c>
      <c r="BO7" s="14" t="s">
        <v>87</v>
      </c>
      <c r="BP7" s="14" t="s">
        <v>88</v>
      </c>
      <c r="BQ7" s="14" t="s">
        <v>89</v>
      </c>
      <c r="BR7" s="14" t="s">
        <v>90</v>
      </c>
      <c r="BS7" s="14" t="s">
        <v>91</v>
      </c>
      <c r="BT7" s="14" t="s">
        <v>92</v>
      </c>
      <c r="BU7" s="14" t="s">
        <v>93</v>
      </c>
      <c r="BV7" s="14" t="s">
        <v>94</v>
      </c>
      <c r="BW7" s="14" t="s">
        <v>95</v>
      </c>
      <c r="BX7" s="14" t="s">
        <v>96</v>
      </c>
      <c r="BY7" s="14" t="s">
        <v>97</v>
      </c>
      <c r="BZ7" s="14" t="s">
        <v>98</v>
      </c>
      <c r="CA7" s="14" t="s">
        <v>99</v>
      </c>
      <c r="CB7" s="14" t="s">
        <v>100</v>
      </c>
      <c r="CC7" s="14" t="s">
        <v>101</v>
      </c>
      <c r="CD7" s="14" t="s">
        <v>102</v>
      </c>
      <c r="CE7" s="14" t="s">
        <v>103</v>
      </c>
      <c r="CF7" s="14" t="s">
        <v>104</v>
      </c>
      <c r="CG7" s="14" t="s">
        <v>105</v>
      </c>
      <c r="CH7" s="14" t="s">
        <v>106</v>
      </c>
      <c r="CI7" s="14" t="s">
        <v>107</v>
      </c>
      <c r="CJ7" s="14" t="s">
        <v>108</v>
      </c>
      <c r="CK7" s="14" t="s">
        <v>109</v>
      </c>
      <c r="CL7" s="14" t="s">
        <v>110</v>
      </c>
      <c r="CM7" s="14" t="s">
        <v>111</v>
      </c>
      <c r="CN7" s="14" t="s">
        <v>112</v>
      </c>
      <c r="CO7" s="14" t="s">
        <v>113</v>
      </c>
      <c r="CP7" s="14" t="s">
        <v>114</v>
      </c>
      <c r="CQ7" s="14" t="s">
        <v>115</v>
      </c>
      <c r="CR7" s="14" t="s">
        <v>116</v>
      </c>
      <c r="CS7" s="14" t="s">
        <v>117</v>
      </c>
      <c r="CT7" s="14" t="s">
        <v>118</v>
      </c>
      <c r="CU7" s="14" t="s">
        <v>119</v>
      </c>
    </row>
    <row r="8" spans="1:99" ht="135">
      <c r="A8" s="14">
        <v>2</v>
      </c>
      <c r="B8" s="14" t="s">
        <v>124</v>
      </c>
      <c r="C8" s="14" t="s">
        <v>125</v>
      </c>
      <c r="D8" s="14" t="s">
        <v>126</v>
      </c>
      <c r="E8" s="14" t="s">
        <v>127</v>
      </c>
      <c r="F8" s="14" t="s">
        <v>128</v>
      </c>
      <c r="G8" s="14" t="s">
        <v>129</v>
      </c>
      <c r="H8" s="14" t="s">
        <v>130</v>
      </c>
      <c r="I8" s="14" t="s">
        <v>131</v>
      </c>
      <c r="J8" s="14" t="s">
        <v>132</v>
      </c>
      <c r="K8" s="14" t="s">
        <v>133</v>
      </c>
      <c r="L8" s="14" t="s">
        <v>134</v>
      </c>
      <c r="M8" s="14" t="s">
        <v>135</v>
      </c>
      <c r="N8" s="14" t="s">
        <v>136</v>
      </c>
      <c r="O8" s="14" t="s">
        <v>137</v>
      </c>
      <c r="Q8" s="14" t="s">
        <v>138</v>
      </c>
      <c r="R8" s="14" t="s">
        <v>139</v>
      </c>
      <c r="S8" s="14" t="s">
        <v>140</v>
      </c>
      <c r="U8" s="14" t="s">
        <v>141</v>
      </c>
      <c r="V8" s="14" t="s">
        <v>142</v>
      </c>
      <c r="W8" s="14" t="s">
        <v>143</v>
      </c>
      <c r="X8" s="14" t="s">
        <v>144</v>
      </c>
      <c r="Y8" s="14" t="s">
        <v>145</v>
      </c>
      <c r="Z8" s="14" t="s">
        <v>146</v>
      </c>
      <c r="AA8" s="14" t="s">
        <v>147</v>
      </c>
      <c r="AB8" s="14" t="s">
        <v>148</v>
      </c>
      <c r="AC8" s="14" t="s">
        <v>149</v>
      </c>
      <c r="AD8" s="14" t="s">
        <v>150</v>
      </c>
      <c r="AE8" s="14" t="s">
        <v>151</v>
      </c>
      <c r="AF8" s="14" t="s">
        <v>152</v>
      </c>
      <c r="AG8" s="14" t="s">
        <v>153</v>
      </c>
      <c r="AH8" s="14" t="s">
        <v>154</v>
      </c>
      <c r="AI8" s="14" t="s">
        <v>155</v>
      </c>
      <c r="AJ8" s="14" t="s">
        <v>156</v>
      </c>
      <c r="AK8" s="14" t="s">
        <v>157</v>
      </c>
      <c r="AL8" s="14" t="s">
        <v>157</v>
      </c>
      <c r="AM8" s="14" t="s">
        <v>158</v>
      </c>
      <c r="AN8" s="14" t="s">
        <v>159</v>
      </c>
      <c r="AO8" s="14" t="s">
        <v>160</v>
      </c>
      <c r="AP8" s="14" t="s">
        <v>161</v>
      </c>
      <c r="AQ8" s="14" t="s">
        <v>162</v>
      </c>
      <c r="AR8" s="14" t="s">
        <v>163</v>
      </c>
      <c r="AS8" s="14" t="s">
        <v>164</v>
      </c>
      <c r="AT8" s="14" t="s">
        <v>165</v>
      </c>
      <c r="AU8" s="14" t="s">
        <v>166</v>
      </c>
      <c r="AV8" s="14" t="s">
        <v>167</v>
      </c>
      <c r="AW8" s="14" t="s">
        <v>168</v>
      </c>
      <c r="AX8" s="14" t="s">
        <v>169</v>
      </c>
      <c r="AY8" s="14" t="s">
        <v>170</v>
      </c>
      <c r="AZ8" s="14" t="s">
        <v>171</v>
      </c>
      <c r="BA8" s="14" t="s">
        <v>172</v>
      </c>
      <c r="BB8" s="14" t="s">
        <v>173</v>
      </c>
      <c r="BC8" s="14" t="s">
        <v>174</v>
      </c>
      <c r="BD8" s="14" t="s">
        <v>175</v>
      </c>
      <c r="BE8" s="14" t="s">
        <v>176</v>
      </c>
      <c r="BF8" s="14" t="s">
        <v>177</v>
      </c>
      <c r="BG8" s="14" t="s">
        <v>178</v>
      </c>
      <c r="BH8" s="14" t="s">
        <v>179</v>
      </c>
      <c r="BI8" s="14" t="s">
        <v>180</v>
      </c>
      <c r="BJ8" s="14" t="s">
        <v>181</v>
      </c>
      <c r="BK8" s="14" t="s">
        <v>182</v>
      </c>
      <c r="BL8" s="14" t="s">
        <v>183</v>
      </c>
      <c r="BM8" s="14" t="s">
        <v>184</v>
      </c>
      <c r="BN8" s="14" t="s">
        <v>185</v>
      </c>
      <c r="BO8" s="14" t="s">
        <v>185</v>
      </c>
      <c r="BP8" s="14" t="s">
        <v>186</v>
      </c>
      <c r="BQ8" s="14" t="s">
        <v>187</v>
      </c>
      <c r="BR8" s="14" t="s">
        <v>188</v>
      </c>
      <c r="BS8" s="14" t="s">
        <v>189</v>
      </c>
      <c r="BT8" s="14" t="s">
        <v>190</v>
      </c>
      <c r="BU8" s="14" t="s">
        <v>191</v>
      </c>
      <c r="BV8" s="14" t="s">
        <v>192</v>
      </c>
      <c r="BW8" s="14" t="s">
        <v>193</v>
      </c>
      <c r="BX8" s="14" t="s">
        <v>194</v>
      </c>
      <c r="BY8" s="14" t="s">
        <v>195</v>
      </c>
      <c r="BZ8" s="14" t="s">
        <v>196</v>
      </c>
      <c r="CA8" s="14" t="s">
        <v>197</v>
      </c>
      <c r="CB8" s="14" t="s">
        <v>198</v>
      </c>
      <c r="CC8" s="14" t="s">
        <v>199</v>
      </c>
      <c r="CD8" s="14" t="s">
        <v>200</v>
      </c>
      <c r="CE8" s="14" t="s">
        <v>201</v>
      </c>
      <c r="CF8" s="14" t="s">
        <v>202</v>
      </c>
      <c r="CG8" s="14" t="s">
        <v>203</v>
      </c>
      <c r="CH8" s="14" t="s">
        <v>204</v>
      </c>
      <c r="CI8" s="14" t="s">
        <v>205</v>
      </c>
      <c r="CJ8" s="14" t="s">
        <v>206</v>
      </c>
      <c r="CK8" s="14" t="s">
        <v>207</v>
      </c>
      <c r="CL8" s="14" t="s">
        <v>208</v>
      </c>
      <c r="CM8" s="14" t="s">
        <v>209</v>
      </c>
      <c r="CN8" s="14" t="s">
        <v>210</v>
      </c>
      <c r="CO8" s="14" t="s">
        <v>211</v>
      </c>
      <c r="CP8" s="14" t="s">
        <v>212</v>
      </c>
      <c r="CQ8" s="14" t="s">
        <v>213</v>
      </c>
      <c r="CR8" s="14" t="s">
        <v>214</v>
      </c>
      <c r="CS8" s="14" t="s">
        <v>215</v>
      </c>
      <c r="CT8" s="14" t="s">
        <v>216</v>
      </c>
      <c r="CU8" s="14" t="s">
        <v>217</v>
      </c>
    </row>
    <row r="9" spans="1:99" ht="175.5">
      <c r="A9" s="14">
        <v>3</v>
      </c>
      <c r="B9" s="14" t="s">
        <v>218</v>
      </c>
      <c r="C9" s="14" t="s">
        <v>219</v>
      </c>
      <c r="E9" s="14" t="s">
        <v>220</v>
      </c>
      <c r="F9" s="14" t="s">
        <v>221</v>
      </c>
      <c r="G9" s="14" t="s">
        <v>222</v>
      </c>
      <c r="H9" s="14" t="s">
        <v>223</v>
      </c>
      <c r="I9" s="14" t="s">
        <v>224</v>
      </c>
      <c r="J9" s="14" t="s">
        <v>225</v>
      </c>
      <c r="K9" s="14" t="s">
        <v>226</v>
      </c>
      <c r="L9" s="14" t="s">
        <v>227</v>
      </c>
      <c r="M9" s="14" t="s">
        <v>228</v>
      </c>
      <c r="N9" s="14" t="s">
        <v>229</v>
      </c>
      <c r="O9" s="14" t="s">
        <v>230</v>
      </c>
      <c r="Q9" s="14" t="s">
        <v>231</v>
      </c>
      <c r="R9" s="14" t="s">
        <v>232</v>
      </c>
      <c r="S9" s="14" t="s">
        <v>233</v>
      </c>
      <c r="U9" s="14" t="s">
        <v>234</v>
      </c>
      <c r="V9" s="14" t="s">
        <v>235</v>
      </c>
      <c r="W9" s="14" t="s">
        <v>236</v>
      </c>
      <c r="X9" s="14" t="s">
        <v>237</v>
      </c>
      <c r="Y9" s="14" t="s">
        <v>238</v>
      </c>
      <c r="Z9" s="14" t="s">
        <v>239</v>
      </c>
      <c r="AA9" s="14" t="s">
        <v>240</v>
      </c>
      <c r="AB9" s="14" t="s">
        <v>241</v>
      </c>
      <c r="AC9" s="14" t="s">
        <v>242</v>
      </c>
      <c r="AD9" s="14" t="s">
        <v>243</v>
      </c>
      <c r="AE9" s="14" t="s">
        <v>244</v>
      </c>
      <c r="AF9" s="14" t="s">
        <v>245</v>
      </c>
      <c r="AG9" s="14" t="s">
        <v>246</v>
      </c>
      <c r="AH9" s="14" t="s">
        <v>246</v>
      </c>
      <c r="AI9" s="14" t="s">
        <v>247</v>
      </c>
      <c r="AJ9" s="14" t="s">
        <v>248</v>
      </c>
      <c r="AK9" s="14" t="s">
        <v>249</v>
      </c>
      <c r="AL9" s="14" t="s">
        <v>250</v>
      </c>
      <c r="AM9" s="14" t="s">
        <v>251</v>
      </c>
      <c r="AN9" s="14" t="s">
        <v>252</v>
      </c>
      <c r="AO9" s="14" t="s">
        <v>253</v>
      </c>
      <c r="AP9" s="14" t="s">
        <v>254</v>
      </c>
      <c r="AQ9" s="14" t="s">
        <v>255</v>
      </c>
      <c r="AR9" s="14" t="s">
        <v>256</v>
      </c>
      <c r="AS9" s="14" t="s">
        <v>257</v>
      </c>
      <c r="AT9" s="14" t="s">
        <v>258</v>
      </c>
      <c r="AU9" s="14" t="s">
        <v>259</v>
      </c>
      <c r="AV9" s="14" t="s">
        <v>260</v>
      </c>
      <c r="AW9" s="14" t="s">
        <v>261</v>
      </c>
      <c r="AX9" s="14" t="s">
        <v>262</v>
      </c>
      <c r="AY9" s="14" t="s">
        <v>263</v>
      </c>
      <c r="AZ9" s="14" t="s">
        <v>264</v>
      </c>
      <c r="BB9" s="14" t="s">
        <v>265</v>
      </c>
      <c r="BC9" s="14" t="s">
        <v>264</v>
      </c>
      <c r="BD9" s="14" t="s">
        <v>266</v>
      </c>
      <c r="BE9" s="14" t="s">
        <v>267</v>
      </c>
      <c r="BF9" s="14" t="s">
        <v>268</v>
      </c>
      <c r="BG9" s="14" t="s">
        <v>269</v>
      </c>
      <c r="BI9" s="14" t="s">
        <v>270</v>
      </c>
      <c r="BK9" s="14" t="s">
        <v>271</v>
      </c>
      <c r="BL9" s="14" t="s">
        <v>272</v>
      </c>
      <c r="BM9" s="14" t="s">
        <v>273</v>
      </c>
      <c r="BO9" s="14" t="s">
        <v>274</v>
      </c>
      <c r="BP9" s="14" t="s">
        <v>275</v>
      </c>
      <c r="BQ9" s="14" t="s">
        <v>276</v>
      </c>
      <c r="BR9" s="14" t="s">
        <v>277</v>
      </c>
      <c r="BS9" s="14" t="s">
        <v>277</v>
      </c>
      <c r="BT9" s="14" t="s">
        <v>274</v>
      </c>
      <c r="BU9" s="14" t="s">
        <v>278</v>
      </c>
      <c r="BV9" s="14" t="s">
        <v>279</v>
      </c>
      <c r="BW9" s="14" t="s">
        <v>280</v>
      </c>
      <c r="BX9" s="14" t="s">
        <v>281</v>
      </c>
      <c r="BY9" s="14" t="s">
        <v>282</v>
      </c>
      <c r="CA9" s="14" t="s">
        <v>283</v>
      </c>
      <c r="CB9" s="14" t="s">
        <v>284</v>
      </c>
      <c r="CC9" s="14" t="s">
        <v>285</v>
      </c>
      <c r="CD9" s="14" t="s">
        <v>286</v>
      </c>
      <c r="CE9" s="14" t="s">
        <v>287</v>
      </c>
      <c r="CF9" s="14" t="s">
        <v>288</v>
      </c>
      <c r="CG9" s="14" t="s">
        <v>289</v>
      </c>
      <c r="CH9" s="14" t="s">
        <v>290</v>
      </c>
      <c r="CI9" s="14" t="s">
        <v>291</v>
      </c>
      <c r="CJ9" s="14" t="s">
        <v>292</v>
      </c>
      <c r="CL9" s="14" t="s">
        <v>293</v>
      </c>
      <c r="CN9" s="14" t="s">
        <v>294</v>
      </c>
      <c r="CO9" s="14" t="s">
        <v>295</v>
      </c>
      <c r="CP9" s="14" t="s">
        <v>296</v>
      </c>
      <c r="CQ9" s="14" t="s">
        <v>297</v>
      </c>
      <c r="CR9" s="14" t="s">
        <v>298</v>
      </c>
      <c r="CS9" s="14" t="s">
        <v>299</v>
      </c>
      <c r="CT9" s="14" t="s">
        <v>300</v>
      </c>
      <c r="CU9" s="14" t="s">
        <v>301</v>
      </c>
    </row>
    <row r="10" spans="1:99" ht="175.5">
      <c r="A10" s="14">
        <v>4</v>
      </c>
      <c r="B10" s="14" t="s">
        <v>302</v>
      </c>
      <c r="C10" s="14" t="s">
        <v>303</v>
      </c>
      <c r="F10" s="14" t="s">
        <v>304</v>
      </c>
      <c r="G10" s="14" t="s">
        <v>305</v>
      </c>
      <c r="H10" s="14" t="s">
        <v>306</v>
      </c>
      <c r="I10" s="14" t="s">
        <v>307</v>
      </c>
      <c r="J10" s="14" t="s">
        <v>308</v>
      </c>
      <c r="K10" s="14" t="s">
        <v>309</v>
      </c>
      <c r="M10" s="14" t="s">
        <v>310</v>
      </c>
      <c r="N10" s="14" t="s">
        <v>311</v>
      </c>
      <c r="O10" s="14" t="s">
        <v>312</v>
      </c>
      <c r="S10" s="14" t="s">
        <v>313</v>
      </c>
      <c r="V10" s="14" t="s">
        <v>314</v>
      </c>
      <c r="AA10" s="14" t="s">
        <v>315</v>
      </c>
      <c r="AB10" s="14" t="s">
        <v>316</v>
      </c>
      <c r="AC10" s="14" t="s">
        <v>241</v>
      </c>
      <c r="AD10" s="14" t="s">
        <v>317</v>
      </c>
      <c r="AI10" s="14" t="s">
        <v>246</v>
      </c>
      <c r="AJ10" s="14" t="s">
        <v>318</v>
      </c>
      <c r="AK10" s="14" t="s">
        <v>246</v>
      </c>
      <c r="AL10" s="14" t="s">
        <v>319</v>
      </c>
      <c r="AM10" s="14" t="s">
        <v>320</v>
      </c>
      <c r="AO10" s="14" t="s">
        <v>321</v>
      </c>
      <c r="AQ10" s="14" t="s">
        <v>322</v>
      </c>
      <c r="AR10" s="14" t="s">
        <v>323</v>
      </c>
      <c r="AS10" s="14" t="s">
        <v>324</v>
      </c>
      <c r="AT10" s="14" t="s">
        <v>325</v>
      </c>
      <c r="AU10" s="14" t="s">
        <v>326</v>
      </c>
      <c r="AV10" s="14" t="s">
        <v>327</v>
      </c>
      <c r="AX10" s="14" t="s">
        <v>328</v>
      </c>
      <c r="AZ10" s="14" t="s">
        <v>329</v>
      </c>
      <c r="BB10" s="14" t="s">
        <v>330</v>
      </c>
      <c r="BC10" s="14" t="s">
        <v>329</v>
      </c>
      <c r="BD10" s="14" t="s">
        <v>331</v>
      </c>
      <c r="BE10" s="14" t="s">
        <v>332</v>
      </c>
      <c r="BP10" s="14" t="s">
        <v>333</v>
      </c>
      <c r="BQ10" s="14" t="s">
        <v>334</v>
      </c>
      <c r="BR10" s="14" t="s">
        <v>334</v>
      </c>
      <c r="BT10" s="14" t="s">
        <v>335</v>
      </c>
      <c r="BU10" s="14" t="s">
        <v>336</v>
      </c>
      <c r="BW10" s="14" t="s">
        <v>337</v>
      </c>
      <c r="BX10" s="14" t="s">
        <v>338</v>
      </c>
      <c r="BY10" s="14" t="s">
        <v>339</v>
      </c>
      <c r="CA10" s="14" t="s">
        <v>340</v>
      </c>
      <c r="CB10" s="14" t="s">
        <v>341</v>
      </c>
      <c r="CC10" s="14" t="s">
        <v>342</v>
      </c>
      <c r="CD10" s="14" t="s">
        <v>343</v>
      </c>
      <c r="CE10" s="14" t="s">
        <v>344</v>
      </c>
      <c r="CF10" s="14" t="s">
        <v>345</v>
      </c>
      <c r="CI10" s="14" t="s">
        <v>346</v>
      </c>
      <c r="CJ10" s="14" t="s">
        <v>325</v>
      </c>
      <c r="CL10" s="14" t="s">
        <v>347</v>
      </c>
      <c r="CN10" s="14" t="s">
        <v>348</v>
      </c>
      <c r="CO10" s="14" t="s">
        <v>349</v>
      </c>
      <c r="CP10" s="14" t="s">
        <v>350</v>
      </c>
      <c r="CR10" s="14" t="s">
        <v>351</v>
      </c>
      <c r="CS10" s="14" t="s">
        <v>352</v>
      </c>
      <c r="CT10" s="14" t="s">
        <v>353</v>
      </c>
      <c r="CU10" s="14" t="s">
        <v>354</v>
      </c>
    </row>
    <row r="11" spans="1:99" ht="121.5">
      <c r="A11" s="14">
        <v>5</v>
      </c>
      <c r="B11" s="14" t="s">
        <v>355</v>
      </c>
      <c r="C11" s="14" t="s">
        <v>356</v>
      </c>
      <c r="F11" s="14" t="s">
        <v>357</v>
      </c>
      <c r="I11" s="14" t="s">
        <v>358</v>
      </c>
      <c r="K11" s="14" t="s">
        <v>359</v>
      </c>
      <c r="N11" s="14" t="s">
        <v>360</v>
      </c>
      <c r="O11" s="14" t="s">
        <v>361</v>
      </c>
      <c r="S11" s="14" t="s">
        <v>362</v>
      </c>
      <c r="AB11" s="14" t="s">
        <v>363</v>
      </c>
      <c r="AJ11" s="14" t="s">
        <v>364</v>
      </c>
      <c r="AK11" s="14" t="s">
        <v>365</v>
      </c>
      <c r="AL11" s="14" t="s">
        <v>366</v>
      </c>
      <c r="AM11" s="14" t="s">
        <v>367</v>
      </c>
      <c r="AQ11" s="14" t="s">
        <v>368</v>
      </c>
      <c r="AT11" s="14" t="s">
        <v>369</v>
      </c>
      <c r="AX11" s="14" t="s">
        <v>370</v>
      </c>
      <c r="BB11" s="14" t="s">
        <v>371</v>
      </c>
      <c r="BP11" s="14" t="s">
        <v>372</v>
      </c>
      <c r="BQ11" s="14" t="s">
        <v>373</v>
      </c>
      <c r="BR11" s="14" t="s">
        <v>374</v>
      </c>
      <c r="BT11" s="14" t="s">
        <v>375</v>
      </c>
      <c r="BW11" s="14" t="s">
        <v>376</v>
      </c>
      <c r="CD11" s="14" t="s">
        <v>377</v>
      </c>
      <c r="CE11" s="14" t="s">
        <v>378</v>
      </c>
      <c r="CF11" s="14" t="s">
        <v>379</v>
      </c>
      <c r="CI11" s="14" t="s">
        <v>380</v>
      </c>
      <c r="CJ11" s="14" t="s">
        <v>381</v>
      </c>
      <c r="CL11" s="14" t="s">
        <v>382</v>
      </c>
      <c r="CO11" s="14" t="s">
        <v>383</v>
      </c>
      <c r="CP11" s="14" t="s">
        <v>384</v>
      </c>
      <c r="CR11" s="14" t="s">
        <v>385</v>
      </c>
      <c r="CS11" s="14" t="s">
        <v>386</v>
      </c>
    </row>
    <row r="12" spans="1:99" ht="121.5">
      <c r="A12" s="14">
        <v>6</v>
      </c>
      <c r="B12" s="14" t="s">
        <v>387</v>
      </c>
      <c r="C12" s="14" t="s">
        <v>388</v>
      </c>
      <c r="N12" s="14" t="s">
        <v>389</v>
      </c>
      <c r="O12" s="14" t="s">
        <v>390</v>
      </c>
      <c r="AJ12" s="14" t="s">
        <v>391</v>
      </c>
      <c r="AK12" s="14" t="s">
        <v>392</v>
      </c>
      <c r="AL12" s="14" t="s">
        <v>365</v>
      </c>
      <c r="AM12" s="14" t="s">
        <v>393</v>
      </c>
      <c r="AQ12" s="14" t="s">
        <v>394</v>
      </c>
      <c r="AT12" s="14" t="s">
        <v>395</v>
      </c>
      <c r="AX12" s="14" t="s">
        <v>396</v>
      </c>
      <c r="BB12" s="14" t="s">
        <v>397</v>
      </c>
      <c r="BP12" s="14" t="s">
        <v>398</v>
      </c>
      <c r="BQ12" s="14" t="s">
        <v>399</v>
      </c>
      <c r="BR12" s="14" t="s">
        <v>399</v>
      </c>
      <c r="BW12" s="14" t="s">
        <v>400</v>
      </c>
      <c r="CI12" s="14" t="s">
        <v>401</v>
      </c>
      <c r="CJ12" s="14" t="s">
        <v>395</v>
      </c>
      <c r="CL12" s="14" t="s">
        <v>402</v>
      </c>
      <c r="CO12" s="14" t="s">
        <v>403</v>
      </c>
      <c r="CP12" s="14" t="s">
        <v>404</v>
      </c>
      <c r="CR12" s="14" t="s">
        <v>405</v>
      </c>
      <c r="CS12" s="14" t="s">
        <v>406</v>
      </c>
    </row>
    <row r="13" spans="1:99" ht="94.5">
      <c r="A13" s="14">
        <v>7</v>
      </c>
      <c r="B13" s="14" t="s">
        <v>407</v>
      </c>
      <c r="C13" s="14" t="s">
        <v>407</v>
      </c>
      <c r="AQ13" s="14" t="s">
        <v>407</v>
      </c>
      <c r="AT13" s="14" t="s">
        <v>407</v>
      </c>
      <c r="AW13" s="14" t="s">
        <v>311</v>
      </c>
      <c r="AX13" s="14" t="s">
        <v>407</v>
      </c>
      <c r="BB13" s="14" t="s">
        <v>408</v>
      </c>
      <c r="BO13" s="14" t="s">
        <v>409</v>
      </c>
      <c r="BP13" s="14" t="s">
        <v>410</v>
      </c>
      <c r="BQ13" s="14" t="s">
        <v>411</v>
      </c>
      <c r="BR13" s="14" t="s">
        <v>411</v>
      </c>
      <c r="BW13" s="14" t="s">
        <v>412</v>
      </c>
      <c r="CA13" s="14" t="s">
        <v>413</v>
      </c>
      <c r="CC13" s="14" t="s">
        <v>414</v>
      </c>
      <c r="CF13" s="14" t="s">
        <v>415</v>
      </c>
      <c r="CI13" s="14" t="s">
        <v>407</v>
      </c>
      <c r="CJ13" s="14" t="s">
        <v>407</v>
      </c>
      <c r="CO13" s="14" t="s">
        <v>407</v>
      </c>
      <c r="CP13" s="14" t="s">
        <v>407</v>
      </c>
      <c r="CR13" s="14" t="s">
        <v>407</v>
      </c>
      <c r="CS13" s="14" t="s">
        <v>407</v>
      </c>
    </row>
    <row r="14" spans="1:99" ht="135">
      <c r="A14" s="14">
        <v>8</v>
      </c>
      <c r="B14" s="14" t="s">
        <v>416</v>
      </c>
      <c r="C14" s="14" t="s">
        <v>416</v>
      </c>
      <c r="D14" s="14" t="s">
        <v>220</v>
      </c>
      <c r="E14" s="14" t="s">
        <v>417</v>
      </c>
      <c r="H14" s="14" t="s">
        <v>418</v>
      </c>
      <c r="I14" s="14" t="s">
        <v>419</v>
      </c>
      <c r="J14" s="14" t="s">
        <v>419</v>
      </c>
      <c r="K14" s="14" t="s">
        <v>419</v>
      </c>
      <c r="L14" s="14" t="s">
        <v>420</v>
      </c>
      <c r="M14" s="14" t="s">
        <v>420</v>
      </c>
      <c r="N14" s="14" t="s">
        <v>420</v>
      </c>
      <c r="O14" s="14" t="s">
        <v>420</v>
      </c>
      <c r="P14" s="14" t="s">
        <v>420</v>
      </c>
      <c r="Q14" s="14" t="s">
        <v>420</v>
      </c>
      <c r="R14" s="14" t="s">
        <v>336</v>
      </c>
      <c r="S14" s="14" t="s">
        <v>336</v>
      </c>
      <c r="V14" s="14" t="s">
        <v>336</v>
      </c>
      <c r="X14" s="14" t="s">
        <v>421</v>
      </c>
      <c r="AA14" s="14" t="s">
        <v>422</v>
      </c>
      <c r="AC14" s="14" t="s">
        <v>423</v>
      </c>
      <c r="AD14" s="14" t="s">
        <v>424</v>
      </c>
      <c r="AG14" s="14" t="s">
        <v>365</v>
      </c>
      <c r="AH14" s="14" t="s">
        <v>365</v>
      </c>
      <c r="AI14" s="14" t="s">
        <v>365</v>
      </c>
      <c r="AJ14" s="14" t="s">
        <v>425</v>
      </c>
      <c r="AK14" s="14" t="s">
        <v>426</v>
      </c>
      <c r="AL14" s="14" t="s">
        <v>246</v>
      </c>
      <c r="AM14" s="14" t="s">
        <v>416</v>
      </c>
      <c r="AN14" s="14" t="s">
        <v>357</v>
      </c>
      <c r="AO14" s="14" t="s">
        <v>427</v>
      </c>
      <c r="AP14" s="14" t="s">
        <v>428</v>
      </c>
      <c r="AQ14" s="14" t="s">
        <v>416</v>
      </c>
      <c r="AT14" s="14" t="s">
        <v>429</v>
      </c>
      <c r="AU14" s="14" t="s">
        <v>430</v>
      </c>
      <c r="AW14" s="14" t="s">
        <v>360</v>
      </c>
      <c r="AX14" s="14" t="s">
        <v>416</v>
      </c>
      <c r="AZ14" s="14" t="s">
        <v>311</v>
      </c>
      <c r="BA14" s="14" t="s">
        <v>431</v>
      </c>
      <c r="BB14" s="14" t="s">
        <v>311</v>
      </c>
      <c r="BC14" s="14" t="s">
        <v>311</v>
      </c>
      <c r="BE14" s="14" t="s">
        <v>432</v>
      </c>
      <c r="BF14" s="14" t="s">
        <v>433</v>
      </c>
      <c r="BG14" s="14" t="s">
        <v>434</v>
      </c>
      <c r="BI14" s="14" t="s">
        <v>435</v>
      </c>
      <c r="BJ14" s="14" t="s">
        <v>436</v>
      </c>
      <c r="BK14" s="14" t="s">
        <v>437</v>
      </c>
      <c r="BL14" s="14" t="s">
        <v>438</v>
      </c>
      <c r="BN14" s="14" t="s">
        <v>439</v>
      </c>
      <c r="BO14" s="14" t="s">
        <v>440</v>
      </c>
      <c r="BP14" s="14" t="s">
        <v>441</v>
      </c>
      <c r="BQ14" s="14" t="s">
        <v>442</v>
      </c>
      <c r="BR14" s="14" t="s">
        <v>443</v>
      </c>
      <c r="BS14" s="14" t="s">
        <v>444</v>
      </c>
      <c r="BT14" s="14" t="s">
        <v>445</v>
      </c>
      <c r="BW14" s="14" t="s">
        <v>446</v>
      </c>
      <c r="CA14" s="14" t="s">
        <v>336</v>
      </c>
      <c r="CC14" s="14" t="s">
        <v>447</v>
      </c>
      <c r="CF14" s="14" t="s">
        <v>448</v>
      </c>
      <c r="CH14" s="14" t="s">
        <v>449</v>
      </c>
      <c r="CI14" s="14" t="s">
        <v>416</v>
      </c>
      <c r="CJ14" s="14" t="s">
        <v>416</v>
      </c>
      <c r="CM14" s="14" t="s">
        <v>450</v>
      </c>
      <c r="CN14" s="14" t="s">
        <v>421</v>
      </c>
      <c r="CO14" s="14" t="s">
        <v>451</v>
      </c>
      <c r="CP14" s="14" t="s">
        <v>451</v>
      </c>
      <c r="CQ14" s="14" t="s">
        <v>357</v>
      </c>
      <c r="CR14" s="14" t="s">
        <v>451</v>
      </c>
      <c r="CS14" s="14" t="s">
        <v>451</v>
      </c>
      <c r="CT14" s="14" t="s">
        <v>452</v>
      </c>
      <c r="CU14" s="14" t="s">
        <v>452</v>
      </c>
    </row>
    <row r="15" spans="1:99" ht="81">
      <c r="A15" s="14">
        <v>9</v>
      </c>
      <c r="B15" s="14" t="s">
        <v>453</v>
      </c>
      <c r="C15" s="14" t="s">
        <v>454</v>
      </c>
      <c r="D15" s="14" t="s">
        <v>455</v>
      </c>
      <c r="E15" s="14" t="s">
        <v>456</v>
      </c>
      <c r="H15" s="14" t="s">
        <v>457</v>
      </c>
      <c r="M15" s="14" t="s">
        <v>458</v>
      </c>
      <c r="R15" s="14" t="s">
        <v>457</v>
      </c>
      <c r="S15" s="14" t="s">
        <v>457</v>
      </c>
      <c r="U15" s="14" t="s">
        <v>459</v>
      </c>
      <c r="V15" s="14" t="s">
        <v>457</v>
      </c>
      <c r="AA15" s="14" t="s">
        <v>457</v>
      </c>
      <c r="AC15" s="14" t="s">
        <v>459</v>
      </c>
      <c r="AD15" s="14" t="s">
        <v>459</v>
      </c>
      <c r="AE15" s="14" t="s">
        <v>460</v>
      </c>
      <c r="AF15" s="14" t="s">
        <v>461</v>
      </c>
      <c r="AJ15" s="14" t="s">
        <v>246</v>
      </c>
      <c r="AL15" s="14" t="s">
        <v>392</v>
      </c>
      <c r="AM15" s="14" t="s">
        <v>457</v>
      </c>
      <c r="AP15" s="14" t="s">
        <v>462</v>
      </c>
      <c r="AQ15" s="14" t="s">
        <v>463</v>
      </c>
      <c r="AT15" s="14" t="s">
        <v>464</v>
      </c>
      <c r="AU15" s="14" t="s">
        <v>465</v>
      </c>
      <c r="AX15" s="14" t="s">
        <v>466</v>
      </c>
      <c r="BD15" s="14" t="s">
        <v>467</v>
      </c>
      <c r="BE15" s="14" t="s">
        <v>468</v>
      </c>
      <c r="BG15" s="14" t="s">
        <v>427</v>
      </c>
      <c r="BJ15" s="14" t="s">
        <v>469</v>
      </c>
      <c r="BK15" s="14" t="s">
        <v>357</v>
      </c>
      <c r="BN15" s="14" t="s">
        <v>470</v>
      </c>
      <c r="BO15" s="14" t="s">
        <v>470</v>
      </c>
      <c r="BP15" s="14" t="s">
        <v>470</v>
      </c>
      <c r="BQ15" s="14" t="s">
        <v>470</v>
      </c>
      <c r="BR15" s="14" t="s">
        <v>470</v>
      </c>
      <c r="BS15" s="14" t="s">
        <v>470</v>
      </c>
      <c r="BT15" s="14" t="s">
        <v>470</v>
      </c>
      <c r="BU15" s="14" t="s">
        <v>457</v>
      </c>
      <c r="BV15" s="14" t="s">
        <v>459</v>
      </c>
      <c r="BW15" s="14" t="s">
        <v>471</v>
      </c>
      <c r="BX15" s="14" t="s">
        <v>472</v>
      </c>
      <c r="BY15" s="14" t="s">
        <v>473</v>
      </c>
      <c r="BZ15" s="14" t="s">
        <v>474</v>
      </c>
      <c r="CA15" s="14" t="s">
        <v>457</v>
      </c>
      <c r="CC15" s="14" t="s">
        <v>475</v>
      </c>
      <c r="CI15" s="14" t="s">
        <v>466</v>
      </c>
      <c r="CJ15" s="14" t="s">
        <v>476</v>
      </c>
      <c r="CO15" s="14" t="s">
        <v>477</v>
      </c>
      <c r="CP15" s="14" t="s">
        <v>478</v>
      </c>
      <c r="CQ15" s="14" t="s">
        <v>479</v>
      </c>
      <c r="CR15" s="14" t="s">
        <v>453</v>
      </c>
      <c r="CS15" s="14" t="s">
        <v>480</v>
      </c>
    </row>
    <row r="16" spans="1:99" ht="41.25">
      <c r="A16" s="14">
        <v>10</v>
      </c>
      <c r="B16" s="14" t="s">
        <v>481</v>
      </c>
      <c r="C16" s="14" t="s">
        <v>482</v>
      </c>
      <c r="D16" s="14" t="s">
        <v>483</v>
      </c>
      <c r="E16" s="14" t="s">
        <v>484</v>
      </c>
      <c r="F16" s="14" t="s">
        <v>485</v>
      </c>
      <c r="G16" s="14" t="s">
        <v>484</v>
      </c>
      <c r="H16" s="14" t="s">
        <v>484</v>
      </c>
      <c r="I16" s="14" t="s">
        <v>486</v>
      </c>
      <c r="J16" s="14" t="s">
        <v>487</v>
      </c>
      <c r="K16" s="14" t="s">
        <v>487</v>
      </c>
      <c r="L16" s="14" t="s">
        <v>488</v>
      </c>
      <c r="M16" s="14" t="s">
        <v>489</v>
      </c>
      <c r="N16" s="14" t="s">
        <v>490</v>
      </c>
      <c r="O16" s="14" t="s">
        <v>488</v>
      </c>
      <c r="P16" s="14" t="s">
        <v>488</v>
      </c>
      <c r="Q16" s="14" t="s">
        <v>488</v>
      </c>
      <c r="R16" s="14" t="s">
        <v>491</v>
      </c>
      <c r="S16" s="14" t="s">
        <v>491</v>
      </c>
      <c r="U16" s="14" t="s">
        <v>492</v>
      </c>
      <c r="V16" s="14" t="s">
        <v>493</v>
      </c>
      <c r="W16" s="14" t="s">
        <v>494</v>
      </c>
      <c r="X16" s="14" t="s">
        <v>495</v>
      </c>
      <c r="Y16" s="14" t="s">
        <v>484</v>
      </c>
      <c r="Z16" s="14" t="s">
        <v>496</v>
      </c>
      <c r="AA16" s="14" t="s">
        <v>497</v>
      </c>
      <c r="AB16" s="14" t="s">
        <v>485</v>
      </c>
      <c r="AC16" s="14" t="s">
        <v>498</v>
      </c>
      <c r="AD16" s="14" t="s">
        <v>485</v>
      </c>
      <c r="AE16" s="14" t="s">
        <v>484</v>
      </c>
      <c r="AF16" s="14" t="s">
        <v>484</v>
      </c>
      <c r="AG16" s="14" t="s">
        <v>484</v>
      </c>
      <c r="AH16" s="14" t="s">
        <v>499</v>
      </c>
      <c r="AI16" s="14" t="s">
        <v>499</v>
      </c>
      <c r="AJ16" s="14" t="s">
        <v>495</v>
      </c>
      <c r="AK16" s="14" t="s">
        <v>499</v>
      </c>
      <c r="AL16" s="14" t="s">
        <v>499</v>
      </c>
      <c r="AM16" s="14" t="s">
        <v>500</v>
      </c>
      <c r="AN16" s="14" t="s">
        <v>488</v>
      </c>
      <c r="AO16" s="14" t="s">
        <v>501</v>
      </c>
      <c r="AP16" s="14" t="s">
        <v>495</v>
      </c>
      <c r="AQ16" s="14" t="s">
        <v>502</v>
      </c>
      <c r="AR16" s="14" t="s">
        <v>485</v>
      </c>
      <c r="AS16" s="14" t="s">
        <v>503</v>
      </c>
      <c r="AT16" s="14" t="s">
        <v>502</v>
      </c>
      <c r="AU16" s="14" t="s">
        <v>504</v>
      </c>
      <c r="AV16" s="14" t="s">
        <v>505</v>
      </c>
      <c r="AW16" s="14" t="s">
        <v>490</v>
      </c>
      <c r="AX16" s="14" t="s">
        <v>502</v>
      </c>
      <c r="AY16" s="14" t="s">
        <v>484</v>
      </c>
      <c r="AZ16" s="14" t="s">
        <v>490</v>
      </c>
      <c r="BA16" s="14" t="s">
        <v>506</v>
      </c>
      <c r="BB16" s="14" t="s">
        <v>506</v>
      </c>
      <c r="BC16" s="14" t="s">
        <v>490</v>
      </c>
      <c r="BD16" s="14" t="s">
        <v>498</v>
      </c>
      <c r="BE16" s="14" t="s">
        <v>488</v>
      </c>
      <c r="BF16" s="14" t="s">
        <v>507</v>
      </c>
      <c r="BG16" s="14" t="s">
        <v>508</v>
      </c>
      <c r="BH16" s="14" t="s">
        <v>509</v>
      </c>
      <c r="BI16" s="14" t="s">
        <v>510</v>
      </c>
      <c r="BJ16" s="14" t="s">
        <v>511</v>
      </c>
      <c r="BK16" s="14" t="s">
        <v>484</v>
      </c>
      <c r="BL16" s="14" t="s">
        <v>484</v>
      </c>
      <c r="BM16" s="14" t="s">
        <v>484</v>
      </c>
      <c r="BN16" s="14" t="s">
        <v>512</v>
      </c>
      <c r="BO16" s="14" t="s">
        <v>512</v>
      </c>
      <c r="BP16" s="14" t="s">
        <v>512</v>
      </c>
      <c r="BQ16" s="14" t="s">
        <v>512</v>
      </c>
      <c r="BR16" s="14" t="s">
        <v>512</v>
      </c>
      <c r="BS16" s="14" t="s">
        <v>512</v>
      </c>
      <c r="BT16" s="14" t="s">
        <v>512</v>
      </c>
      <c r="BU16" s="14" t="s">
        <v>513</v>
      </c>
      <c r="BV16" s="14" t="s">
        <v>485</v>
      </c>
      <c r="BW16" s="14" t="s">
        <v>488</v>
      </c>
      <c r="BX16" s="14" t="s">
        <v>492</v>
      </c>
      <c r="BY16" s="14" t="s">
        <v>485</v>
      </c>
      <c r="BZ16" s="14" t="s">
        <v>514</v>
      </c>
      <c r="CA16" s="14" t="s">
        <v>515</v>
      </c>
      <c r="CB16" s="14" t="s">
        <v>516</v>
      </c>
      <c r="CC16" s="14" t="s">
        <v>517</v>
      </c>
      <c r="CD16" s="14" t="s">
        <v>518</v>
      </c>
      <c r="CE16" s="14" t="s">
        <v>519</v>
      </c>
      <c r="CF16" s="14" t="s">
        <v>520</v>
      </c>
      <c r="CG16" s="14" t="s">
        <v>495</v>
      </c>
      <c r="CH16" s="14" t="s">
        <v>521</v>
      </c>
      <c r="CI16" s="14" t="s">
        <v>502</v>
      </c>
      <c r="CJ16" s="14" t="s">
        <v>502</v>
      </c>
      <c r="CK16" s="14" t="s">
        <v>492</v>
      </c>
      <c r="CL16" s="14" t="s">
        <v>522</v>
      </c>
      <c r="CM16" s="14" t="s">
        <v>487</v>
      </c>
      <c r="CN16" s="14" t="s">
        <v>523</v>
      </c>
      <c r="CO16" s="14" t="s">
        <v>502</v>
      </c>
      <c r="CP16" s="14" t="s">
        <v>524</v>
      </c>
      <c r="CQ16" s="14" t="s">
        <v>485</v>
      </c>
      <c r="CR16" s="14" t="s">
        <v>502</v>
      </c>
      <c r="CS16" s="14" t="s">
        <v>502</v>
      </c>
      <c r="CT16" s="14" t="s">
        <v>525</v>
      </c>
      <c r="CU16" s="14" t="s">
        <v>525</v>
      </c>
    </row>
    <row r="17" spans="1:2">
      <c r="A17" s="14">
        <v>11</v>
      </c>
      <c r="B17" s="14">
        <v>0</v>
      </c>
    </row>
    <row r="18" spans="1:2">
      <c r="A18" s="14">
        <v>12</v>
      </c>
      <c r="B18" s="14">
        <v>0</v>
      </c>
    </row>
    <row r="19" spans="1:2">
      <c r="A19" s="14">
        <v>13</v>
      </c>
      <c r="B19" s="14">
        <v>0</v>
      </c>
    </row>
    <row r="20" spans="1:2">
      <c r="A20" s="14">
        <v>14</v>
      </c>
    </row>
  </sheetData>
  <sortState xmlns:xlrd2="http://schemas.microsoft.com/office/spreadsheetml/2017/richdata2" ref="A95:CS102">
    <sortCondition ref="A94"/>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AS24"/>
  <sheetViews>
    <sheetView workbookViewId="0">
      <selection activeCell="C16" sqref="C16"/>
    </sheetView>
  </sheetViews>
  <sheetFormatPr defaultColWidth="8.85546875" defaultRowHeight="15"/>
  <cols>
    <col min="2" max="2" width="17.42578125" customWidth="1"/>
    <col min="3" max="3" width="18.7109375" customWidth="1"/>
    <col min="4" max="4" width="15.7109375" customWidth="1"/>
    <col min="5" max="5" width="14.7109375" customWidth="1"/>
    <col min="6" max="6" width="12.42578125" customWidth="1"/>
    <col min="7" max="7" width="14.42578125" customWidth="1"/>
    <col min="8" max="8" width="17.7109375" customWidth="1"/>
  </cols>
  <sheetData>
    <row r="1" spans="1:45">
      <c r="A1" s="26" t="s">
        <v>1</v>
      </c>
      <c r="B1" s="26" t="s">
        <v>526</v>
      </c>
      <c r="C1" s="26" t="s">
        <v>527</v>
      </c>
      <c r="D1" s="26" t="s">
        <v>528</v>
      </c>
      <c r="E1" s="26" t="s">
        <v>529</v>
      </c>
      <c r="F1" s="26" t="s">
        <v>530</v>
      </c>
      <c r="G1" s="26" t="s">
        <v>531</v>
      </c>
      <c r="H1" s="26" t="s">
        <v>532</v>
      </c>
      <c r="I1" s="26" t="s">
        <v>533</v>
      </c>
      <c r="J1" s="26" t="s">
        <v>534</v>
      </c>
      <c r="K1" s="26" t="s">
        <v>535</v>
      </c>
      <c r="L1" s="26" t="s">
        <v>536</v>
      </c>
      <c r="M1" s="26" t="s">
        <v>537</v>
      </c>
      <c r="N1" s="26" t="s">
        <v>538</v>
      </c>
      <c r="O1" s="26" t="s">
        <v>539</v>
      </c>
      <c r="P1" s="26" t="s">
        <v>540</v>
      </c>
      <c r="Q1" s="26" t="s">
        <v>541</v>
      </c>
      <c r="R1" s="26" t="s">
        <v>542</v>
      </c>
      <c r="S1" s="26" t="s">
        <v>543</v>
      </c>
      <c r="T1" s="26" t="s">
        <v>544</v>
      </c>
      <c r="U1" s="26" t="s">
        <v>545</v>
      </c>
      <c r="V1" s="26" t="s">
        <v>546</v>
      </c>
      <c r="W1" s="26" t="s">
        <v>547</v>
      </c>
      <c r="X1" s="26" t="s">
        <v>548</v>
      </c>
      <c r="Y1" s="26" t="s">
        <v>549</v>
      </c>
      <c r="Z1" s="26" t="s">
        <v>550</v>
      </c>
      <c r="AA1" s="26" t="s">
        <v>551</v>
      </c>
      <c r="AB1" s="26" t="s">
        <v>552</v>
      </c>
      <c r="AC1" s="26" t="s">
        <v>553</v>
      </c>
      <c r="AD1" s="26" t="s">
        <v>554</v>
      </c>
      <c r="AE1" s="26" t="s">
        <v>555</v>
      </c>
      <c r="AF1" s="26" t="s">
        <v>556</v>
      </c>
      <c r="AG1" s="26" t="s">
        <v>557</v>
      </c>
      <c r="AH1" s="26" t="s">
        <v>558</v>
      </c>
      <c r="AI1" s="26" t="s">
        <v>559</v>
      </c>
      <c r="AJ1" s="26" t="s">
        <v>560</v>
      </c>
      <c r="AK1" s="26" t="s">
        <v>561</v>
      </c>
      <c r="AL1" s="26" t="s">
        <v>562</v>
      </c>
      <c r="AM1" s="26" t="s">
        <v>563</v>
      </c>
      <c r="AN1" s="26" t="s">
        <v>564</v>
      </c>
      <c r="AO1" s="26" t="s">
        <v>565</v>
      </c>
      <c r="AP1" s="26" t="s">
        <v>566</v>
      </c>
      <c r="AQ1" s="26" t="s">
        <v>567</v>
      </c>
      <c r="AR1" s="26" t="s">
        <v>568</v>
      </c>
      <c r="AS1" s="26" t="s">
        <v>569</v>
      </c>
    </row>
    <row r="2" spans="1:45">
      <c r="A2" s="26" t="s">
        <v>19</v>
      </c>
      <c r="B2" s="26" t="s">
        <v>570</v>
      </c>
      <c r="C2" s="26" t="s">
        <v>571</v>
      </c>
      <c r="D2" s="26" t="s">
        <v>572</v>
      </c>
      <c r="E2" s="26" t="s">
        <v>573</v>
      </c>
      <c r="F2" s="26" t="s">
        <v>574</v>
      </c>
      <c r="G2" s="26" t="s">
        <v>575</v>
      </c>
      <c r="H2" s="26" t="s">
        <v>576</v>
      </c>
      <c r="I2" s="26" t="s">
        <v>577</v>
      </c>
      <c r="J2" s="26" t="s">
        <v>578</v>
      </c>
      <c r="K2" s="26" t="s">
        <v>579</v>
      </c>
      <c r="L2" s="26" t="s">
        <v>580</v>
      </c>
      <c r="M2" s="26" t="s">
        <v>581</v>
      </c>
      <c r="N2" s="26" t="s">
        <v>582</v>
      </c>
      <c r="O2" s="26" t="s">
        <v>583</v>
      </c>
      <c r="P2" s="26" t="s">
        <v>584</v>
      </c>
      <c r="Q2" s="26" t="s">
        <v>585</v>
      </c>
      <c r="R2" s="26" t="s">
        <v>586</v>
      </c>
      <c r="S2" s="26" t="s">
        <v>587</v>
      </c>
      <c r="T2" s="26" t="s">
        <v>588</v>
      </c>
      <c r="U2" s="26" t="s">
        <v>589</v>
      </c>
      <c r="V2" s="26" t="s">
        <v>590</v>
      </c>
      <c r="W2" s="26" t="s">
        <v>591</v>
      </c>
      <c r="X2" s="26" t="s">
        <v>592</v>
      </c>
      <c r="Y2" s="26" t="s">
        <v>593</v>
      </c>
      <c r="Z2" s="26" t="s">
        <v>594</v>
      </c>
      <c r="AA2" s="26" t="s">
        <v>595</v>
      </c>
      <c r="AB2" s="26" t="s">
        <v>596</v>
      </c>
      <c r="AC2" s="26" t="s">
        <v>597</v>
      </c>
      <c r="AD2" s="26" t="s">
        <v>598</v>
      </c>
      <c r="AE2" s="26" t="s">
        <v>599</v>
      </c>
      <c r="AF2" s="26" t="s">
        <v>600</v>
      </c>
      <c r="AG2" s="26" t="s">
        <v>601</v>
      </c>
      <c r="AH2" s="26" t="s">
        <v>602</v>
      </c>
      <c r="AI2" s="26" t="s">
        <v>603</v>
      </c>
      <c r="AJ2" s="26" t="s">
        <v>604</v>
      </c>
      <c r="AK2" s="26" t="s">
        <v>605</v>
      </c>
      <c r="AL2" s="26" t="s">
        <v>606</v>
      </c>
      <c r="AM2" s="26" t="s">
        <v>607</v>
      </c>
      <c r="AN2" s="26" t="s">
        <v>608</v>
      </c>
      <c r="AO2" s="26" t="s">
        <v>609</v>
      </c>
      <c r="AP2" s="26" t="s">
        <v>610</v>
      </c>
      <c r="AQ2" s="26" t="s">
        <v>611</v>
      </c>
      <c r="AR2" s="26" t="s">
        <v>612</v>
      </c>
      <c r="AS2" s="26" t="s">
        <v>613</v>
      </c>
    </row>
    <row r="3" spans="1:45">
      <c r="A3" s="26" t="s">
        <v>1</v>
      </c>
      <c r="B3" s="26" t="s">
        <v>526</v>
      </c>
      <c r="C3" s="26" t="s">
        <v>527</v>
      </c>
      <c r="D3" s="26" t="s">
        <v>528</v>
      </c>
      <c r="E3" s="26" t="s">
        <v>529</v>
      </c>
      <c r="F3" s="26" t="s">
        <v>530</v>
      </c>
      <c r="G3" s="26" t="s">
        <v>531</v>
      </c>
      <c r="H3" s="26" t="s">
        <v>532</v>
      </c>
      <c r="I3" s="26" t="s">
        <v>533</v>
      </c>
      <c r="J3" s="26" t="s">
        <v>534</v>
      </c>
      <c r="K3" s="26" t="s">
        <v>535</v>
      </c>
      <c r="L3" s="26" t="s">
        <v>536</v>
      </c>
      <c r="M3" s="26" t="s">
        <v>537</v>
      </c>
      <c r="N3" s="26" t="s">
        <v>538</v>
      </c>
      <c r="O3" s="26" t="s">
        <v>539</v>
      </c>
      <c r="P3" s="26" t="s">
        <v>540</v>
      </c>
      <c r="Q3" s="26" t="s">
        <v>541</v>
      </c>
      <c r="R3" s="26" t="s">
        <v>542</v>
      </c>
      <c r="S3" s="26" t="s">
        <v>543</v>
      </c>
      <c r="T3" s="26" t="s">
        <v>544</v>
      </c>
      <c r="U3" s="26" t="s">
        <v>545</v>
      </c>
      <c r="V3" s="26" t="s">
        <v>546</v>
      </c>
      <c r="W3" s="26" t="s">
        <v>547</v>
      </c>
      <c r="X3" s="26" t="s">
        <v>548</v>
      </c>
      <c r="Y3" s="26" t="s">
        <v>549</v>
      </c>
      <c r="Z3" s="26" t="s">
        <v>550</v>
      </c>
      <c r="AA3" s="26" t="s">
        <v>551</v>
      </c>
      <c r="AB3" s="26" t="s">
        <v>552</v>
      </c>
      <c r="AC3" s="26" t="s">
        <v>553</v>
      </c>
      <c r="AD3" s="26" t="s">
        <v>554</v>
      </c>
      <c r="AE3" s="26" t="s">
        <v>555</v>
      </c>
      <c r="AF3" s="26" t="s">
        <v>556</v>
      </c>
      <c r="AG3" s="26" t="s">
        <v>557</v>
      </c>
      <c r="AH3" s="26" t="s">
        <v>558</v>
      </c>
      <c r="AI3" s="26" t="s">
        <v>559</v>
      </c>
      <c r="AJ3" s="26" t="s">
        <v>560</v>
      </c>
      <c r="AK3" s="26" t="s">
        <v>561</v>
      </c>
      <c r="AL3" s="26" t="s">
        <v>562</v>
      </c>
      <c r="AM3" s="26" t="s">
        <v>563</v>
      </c>
      <c r="AN3" s="26" t="s">
        <v>564</v>
      </c>
      <c r="AO3" s="26" t="s">
        <v>565</v>
      </c>
      <c r="AP3" s="26" t="s">
        <v>566</v>
      </c>
      <c r="AQ3" s="26" t="s">
        <v>567</v>
      </c>
      <c r="AR3" s="26" t="s">
        <v>568</v>
      </c>
      <c r="AS3" s="26" t="s">
        <v>569</v>
      </c>
    </row>
    <row r="4" spans="1:45">
      <c r="A4" s="26">
        <v>0</v>
      </c>
      <c r="B4" s="26">
        <v>25</v>
      </c>
      <c r="C4" s="26">
        <v>50</v>
      </c>
      <c r="D4" s="26">
        <v>10</v>
      </c>
      <c r="E4" s="26">
        <v>20</v>
      </c>
      <c r="F4" s="26">
        <v>300</v>
      </c>
      <c r="G4" s="26">
        <v>25</v>
      </c>
      <c r="H4" s="26">
        <v>25</v>
      </c>
      <c r="I4" s="26">
        <v>25</v>
      </c>
      <c r="J4" s="26">
        <v>30</v>
      </c>
      <c r="K4" s="26">
        <v>25</v>
      </c>
      <c r="L4" s="26">
        <v>15</v>
      </c>
      <c r="M4" s="26">
        <v>20</v>
      </c>
      <c r="N4" s="26">
        <v>20</v>
      </c>
      <c r="O4" s="26">
        <v>15</v>
      </c>
      <c r="P4" s="26">
        <v>25</v>
      </c>
      <c r="Q4" s="26">
        <v>25</v>
      </c>
      <c r="R4" s="26">
        <v>25</v>
      </c>
      <c r="S4" s="26">
        <v>250</v>
      </c>
      <c r="T4" s="26">
        <v>25</v>
      </c>
      <c r="U4" s="26">
        <v>25</v>
      </c>
      <c r="V4" s="26">
        <v>25</v>
      </c>
      <c r="W4" s="26">
        <v>50</v>
      </c>
      <c r="X4" s="26">
        <v>10</v>
      </c>
      <c r="Y4" s="26">
        <v>200</v>
      </c>
      <c r="Z4" s="26">
        <v>100</v>
      </c>
      <c r="AA4" s="26">
        <v>150</v>
      </c>
      <c r="AB4" s="26">
        <v>25</v>
      </c>
      <c r="AC4" s="26">
        <v>100</v>
      </c>
      <c r="AD4" s="26">
        <v>25</v>
      </c>
      <c r="AE4" s="26">
        <v>25</v>
      </c>
      <c r="AF4" s="26">
        <v>25</v>
      </c>
      <c r="AG4" s="26">
        <v>25</v>
      </c>
      <c r="AH4" s="26">
        <v>30</v>
      </c>
      <c r="AI4" s="26">
        <v>25</v>
      </c>
      <c r="AJ4" s="26">
        <v>10</v>
      </c>
      <c r="AK4" s="26">
        <v>10</v>
      </c>
      <c r="AL4" s="26">
        <v>10</v>
      </c>
      <c r="AM4" s="26">
        <v>10</v>
      </c>
      <c r="AN4" s="26">
        <v>10</v>
      </c>
      <c r="AO4" s="26">
        <v>10</v>
      </c>
      <c r="AP4" s="26">
        <v>10</v>
      </c>
      <c r="AQ4" s="26">
        <v>10</v>
      </c>
      <c r="AR4" s="26">
        <v>25</v>
      </c>
      <c r="AS4" s="26">
        <v>200</v>
      </c>
    </row>
    <row r="6" spans="1:45">
      <c r="A6" s="26"/>
      <c r="B6" s="26"/>
      <c r="C6" s="105">
        <f>HLOOKUP(START!A10,Math!A28:D29,2,FALSE)</f>
        <v>0</v>
      </c>
      <c r="D6" s="105"/>
      <c r="E6" s="105"/>
      <c r="F6" s="105"/>
      <c r="G6" s="105"/>
      <c r="H6" s="105"/>
      <c r="I6" s="105"/>
      <c r="J6" s="105"/>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row>
    <row r="7" spans="1:45">
      <c r="A7" s="26"/>
      <c r="B7" s="26"/>
      <c r="C7" s="105" t="e">
        <f>IF(START!B5=1,25*START!B4,START!B5*START!B4)</f>
        <v>#REF!</v>
      </c>
      <c r="D7" s="105"/>
      <c r="E7" s="105"/>
      <c r="F7" s="105"/>
      <c r="G7" s="105"/>
      <c r="H7" s="105"/>
      <c r="I7" s="105"/>
      <c r="J7" s="105"/>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row>
    <row r="8" spans="1:45">
      <c r="A8" s="26"/>
      <c r="B8" s="26"/>
      <c r="C8" s="105">
        <f>HLOOKUP(START!E2,3:4,2,FALSE)</f>
        <v>0</v>
      </c>
      <c r="D8" s="105"/>
      <c r="E8" s="105"/>
      <c r="F8" s="105"/>
      <c r="G8" s="105"/>
      <c r="H8" s="105"/>
      <c r="I8" s="105"/>
      <c r="J8" s="105"/>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row>
    <row r="9" spans="1:45">
      <c r="A9" s="26"/>
      <c r="B9" s="26"/>
      <c r="C9" s="105">
        <f>HLOOKUP(START!E12,3:4,2,FALSE)</f>
        <v>0</v>
      </c>
      <c r="D9" s="105"/>
      <c r="E9" s="105"/>
      <c r="F9" s="105"/>
      <c r="G9" s="105"/>
      <c r="H9" s="105"/>
      <c r="I9" s="105"/>
      <c r="J9" s="105"/>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row>
    <row r="10" spans="1:45">
      <c r="A10" s="26"/>
      <c r="B10" s="26"/>
      <c r="C10" s="105">
        <f>HLOOKUP(START!O2,3:4,2,FALSE)</f>
        <v>0</v>
      </c>
      <c r="D10" s="105"/>
      <c r="E10" s="105"/>
      <c r="F10" s="105"/>
      <c r="G10" s="105"/>
      <c r="H10" s="105"/>
      <c r="I10" s="105"/>
      <c r="J10" s="105"/>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row>
    <row r="11" spans="1:45">
      <c r="A11" s="26"/>
      <c r="B11" s="26"/>
      <c r="C11" s="105">
        <f>HLOOKUP(START!E22,3:4,2,FALSE)</f>
        <v>0</v>
      </c>
      <c r="D11" s="105"/>
      <c r="E11" s="105"/>
      <c r="F11" s="105"/>
      <c r="G11" s="105"/>
      <c r="H11" s="105"/>
      <c r="I11" s="105"/>
      <c r="J11" s="105"/>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row>
    <row r="12" spans="1:45">
      <c r="A12" s="26"/>
      <c r="B12" s="26"/>
      <c r="C12" s="105">
        <f>HLOOKUP(START!O12,3:4,2,FALSE)</f>
        <v>0</v>
      </c>
      <c r="D12" s="105"/>
      <c r="E12" s="105"/>
      <c r="F12" s="105"/>
      <c r="G12" s="105"/>
      <c r="H12" s="105"/>
      <c r="I12" s="105"/>
      <c r="J12" s="105"/>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row>
    <row r="13" spans="1:45">
      <c r="A13" s="26"/>
      <c r="B13" s="26"/>
      <c r="C13" s="105">
        <f>HLOOKUP(START!O22,3:4,2,FALSE)</f>
        <v>0</v>
      </c>
      <c r="D13" s="105"/>
      <c r="E13" s="105"/>
      <c r="F13" s="105"/>
      <c r="G13" s="105"/>
      <c r="H13" s="105"/>
      <c r="I13" s="105"/>
      <c r="J13" s="105"/>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row>
    <row r="14" spans="1:45">
      <c r="A14" s="26"/>
      <c r="B14" s="26"/>
      <c r="C14" s="105" t="e">
        <f>SUM(C6:J13)</f>
        <v>#REF!</v>
      </c>
      <c r="D14" s="105"/>
      <c r="E14" s="105"/>
      <c r="F14" s="105"/>
      <c r="G14" s="105"/>
      <c r="H14" s="105"/>
      <c r="I14" s="105"/>
      <c r="J14" s="105"/>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row>
    <row r="16" spans="1:45">
      <c r="A16" s="26"/>
      <c r="B16" s="26"/>
      <c r="C16" s="26" t="e">
        <f>HLOOKUP(START!#REF!,Math!A28:D29,2,FALSE)</f>
        <v>#REF!</v>
      </c>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row>
    <row r="17" spans="3:3">
      <c r="C17" s="26" t="e">
        <f>IF(START!#REF!=1,25*START!#REF!,START!#REF!*START!#REF!)</f>
        <v>#REF!</v>
      </c>
    </row>
    <row r="18" spans="3:3">
      <c r="C18" s="26" t="e">
        <f>HLOOKUP(START!#REF!,3:4,2,FALSE)</f>
        <v>#REF!</v>
      </c>
    </row>
    <row r="19" spans="3:3">
      <c r="C19" s="26" t="e">
        <f>HLOOKUP(START!#REF!,3:4,2,FALSE)</f>
        <v>#REF!</v>
      </c>
    </row>
    <row r="20" spans="3:3">
      <c r="C20" s="26" t="e">
        <f>HLOOKUP(START!#REF!,3:4,2,FALSE)</f>
        <v>#REF!</v>
      </c>
    </row>
    <row r="21" spans="3:3">
      <c r="C21" s="26" t="e">
        <f>HLOOKUP(START!#REF!,3:4,2,FALSE)</f>
        <v>#REF!</v>
      </c>
    </row>
    <row r="22" spans="3:3">
      <c r="C22" s="26" t="e">
        <f>HLOOKUP(START!#REF!,3:4,2,FALSE)</f>
        <v>#REF!</v>
      </c>
    </row>
    <row r="23" spans="3:3">
      <c r="C23" s="26" t="e">
        <f>HLOOKUP(START!#REF!,3:4,2,FALSE)</f>
        <v>#REF!</v>
      </c>
    </row>
    <row r="24" spans="3:3">
      <c r="C24" s="26" t="e">
        <f>SUM(C16:C23)</f>
        <v>#REF!</v>
      </c>
    </row>
  </sheetData>
  <sortState xmlns:xlrd2="http://schemas.microsoft.com/office/spreadsheetml/2017/richdata2" columnSort="1" ref="A1:AM4">
    <sortCondition ref="A1:AM1"/>
  </sortState>
  <mergeCells count="9">
    <mergeCell ref="C12:J12"/>
    <mergeCell ref="C13:J13"/>
    <mergeCell ref="C14:J14"/>
    <mergeCell ref="C7:J7"/>
    <mergeCell ref="C6:J6"/>
    <mergeCell ref="C8:J8"/>
    <mergeCell ref="C9:J9"/>
    <mergeCell ref="C11:J11"/>
    <mergeCell ref="C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coombs</dc:creator>
  <cp:keywords/>
  <dc:description/>
  <cp:lastModifiedBy>monsters closet</cp:lastModifiedBy>
  <cp:revision/>
  <dcterms:created xsi:type="dcterms:W3CDTF">2014-08-05T22:37:55Z</dcterms:created>
  <dcterms:modified xsi:type="dcterms:W3CDTF">2020-01-27T06:23:46Z</dcterms:modified>
  <cp:category/>
  <cp:contentStatus/>
</cp:coreProperties>
</file>